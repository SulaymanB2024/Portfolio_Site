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7.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drawings/charts/chart3.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comments6.xml" ContentType="application/vnd.openxmlformats-officedocument.spreadsheetml.comments+xml"/>
  <Override PartName="/xl/threadedcomments/threadedcomment6.xml" ContentType="application/vnd.ms-excel.threaded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2475d8b918949a7" /></Relationships>
</file>

<file path=xl/workbook.xml><?xml version="1.0" encoding="utf-8"?>
<x:workbook xmlns:x="http://schemas.openxmlformats.org/spreadsheetml/2006/main">
  <x:sheets>
    <x:sheet xmlns:r="http://schemas.openxmlformats.org/officeDocument/2006/relationships" name="00_ReadMe" sheetId="1" r:id="R4d778335ef8d4705"/>
    <x:sheet xmlns:r="http://schemas.openxmlformats.org/officeDocument/2006/relationships" name="01_Source_Ledger" sheetId="2" r:id="Ra606c2093de54ad5"/>
    <x:sheet xmlns:r="http://schemas.openxmlformats.org/officeDocument/2006/relationships" name="02_System_Summary" sheetId="3" r:id="Rfc450a3960cb4242"/>
    <x:sheet xmlns:r="http://schemas.openxmlformats.org/officeDocument/2006/relationships" name="03_Accounting_View" sheetId="4" r:id="R44e4c7bc600c4a37"/>
    <x:sheet xmlns:r="http://schemas.openxmlformats.org/officeDocument/2006/relationships" name="04_Cash_Waterfall" sheetId="5" r:id="R963ae74993e544f0"/>
    <x:sheet xmlns:r="http://schemas.openxmlformats.org/officeDocument/2006/relationships" name="05_100_Comparison" sheetId="6" r:id="Re5195482513043ef"/>
    <x:sheet xmlns:r="http://schemas.openxmlformats.org/officeDocument/2006/relationships" name="06_Five_Year_Trend" sheetId="7" r:id="Red22faf52ec44598"/>
    <x:sheet xmlns:r="http://schemas.openxmlformats.org/officeDocument/2006/relationships" name="07_Debt_Timeline" sheetId="8" r:id="R1af21003eee8460a"/>
    <x:sheet xmlns:r="http://schemas.openxmlformats.org/officeDocument/2006/relationships" name="08_Concessions" sheetId="9" r:id="R1079ada20e8f4599"/>
    <x:sheet xmlns:r="http://schemas.openxmlformats.org/officeDocument/2006/relationships" name="09_Legal_Authority" sheetId="10" r:id="Ra31fe1efc68d4888"/>
    <x:sheet xmlns:r="http://schemas.openxmlformats.org/officeDocument/2006/relationships" name="10_Map_Data" sheetId="11" r:id="R4376d4c9294e4ee8"/>
    <x:sheet xmlns:r="http://schemas.openxmlformats.org/officeDocument/2006/relationships" name="11_Reconciliation" sheetId="12" r:id="Rf429617cc9ac461b"/>
    <x:sheet xmlns:r="http://schemas.openxmlformats.org/officeDocument/2006/relationships" name="12_Diagram" sheetId="13" r:id="Re2f4dfbf2564433a"/>
    <x:sheet xmlns:r="http://schemas.openxmlformats.org/officeDocument/2006/relationships" name="13_SEO_Publish" sheetId="14" r:id="R47b8bb74792b4c5a"/>
    <x:sheet xmlns:r="http://schemas.openxmlformats.org/officeDocument/2006/relationships" name="14_Fact_Check" sheetId="15" r:id="R53feccde32914155"/>
    <x:sheet xmlns:r="http://schemas.openxmlformats.org/officeDocument/2006/relationships" name="15_Web_Publish" sheetId="16" r:id="R7d6411d0c5c04930"/>
  </x:sheets>
</x:workbook>
</file>

<file path=xl/comments1.xml><?xml version="1.0" encoding="utf-8"?>
<x:comments xmlns:x="http://schemas.openxmlformats.org/spreadsheetml/2006/main">
  <x:authors>
    <x:author>tc={B498F962-7164-3154-2664-777077AD4867}</x:author>
  </x:authors>
  <x:commentList>
    <x:comment ref="H5" authorId="0">
      <x:text>
        <x:r>
          <x:t>[Threaded comment]
Your version of Excel allows you to read this threaded comment; however, any edits to it will get removed if the file is opened in a newer version of Excel. Learn more: https://go.microsoft.com/fwlink/?linkid=870924
Comment:
    Source S02. Audited FY2025 debt service, rounded to $675.7 million; detailed preliminary monthly report reports $666.9 million net debt service.</x:t>
        </x:r>
      </x:text>
    </x:comment>
  </x:commentList>
</x:comments>
</file>

<file path=xl/comments2.xml><?xml version="1.0" encoding="utf-8"?>
<x:comments xmlns:x="http://schemas.openxmlformats.org/spreadsheetml/2006/main">
  <x:authors>
    <x:author>tc={DAB4D7DE-6FA1-2065-2D77-15006F1FB824}</x:author>
    <x:author>tc={EDD1F23C-BF5C-90A4-7354-B74114ADAE03}</x:author>
    <x:author>tc={FB16E5F7-F173-47CD-973A-C5AD2510A457}</x:author>
    <x:author>tc={81A01AA3-C287-5E17-1984-5652CEB6214C}</x:author>
    <x:author>tc={724D6063-46CA-C59D-28EC-A09EBFDB5FDA}</x:author>
    <x:author>tc={A0B426F0-F403-03AA-D781-1807B6D766B7}</x:author>
    <x:author>tc={953CA1AC-C492-F9C8-A643-B2E9CB08753C}</x:author>
    <x:author>tc={A64535BF-DA33-0C12-DC21-84150D85E06E}</x:author>
    <x:author>tc={69B0DC25-0967-9ECA-9184-B7FAF682CC7D}</x:author>
    <x:author>tc={D7C77685-B913-3C18-E6C6-879B7FC020C2}</x:author>
    <x:author>tc={58F973EA-D43F-82F6-4C7E-04950B85A66A}</x:author>
    <x:author>tc={E6C1A1F7-5D2E-D3F9-AF08-C569246706B3}</x:author>
    <x:author>tc={97B19D63-B7D8-9CD1-D517-4DB9CCE14A07}</x:author>
    <x:author>tc={43C272DA-58F4-BE49-8B32-100C970F0F39}</x:author>
    <x:author>tc={2521105A-5C67-DAC2-0D03-0C5D457EE8C1}</x:author>
    <x:author>tc={F31C03CB-1FB3-9317-1AC8-4861296FB2CC}</x:author>
    <x:author>tc={FB2145B7-5ECA-CB94-E516-9B9A4D66A819}</x:author>
    <x:author>tc={BFF46296-E0F2-B1BB-126B-A99C870E2C1A}</x:author>
    <x:author>tc={80349A4D-5FB3-CD70-1CB4-8111CD402E94}</x:author>
    <x:author>tc={00B64505-AA39-B4A0-4792-10D0E4D5F7CF}</x:author>
    <x:author>tc={595C5B89-B54B-4029-CA32-FAF42274A20B}</x:author>
    <x:author>tc={A6F6FD71-511A-1C4D-3FF4-D68EED7BA973}</x:author>
    <x:author>tc={32F14558-B583-18D4-45FD-317E5AB4B69F}</x:author>
    <x:author>tc={07FA2AB2-7236-7200-4029-71E567AA8608}</x:author>
    <x:author>tc={1C0AAB68-460A-6E06-D753-41BDF3BB2996}</x:author>
    <x:author>tc={E04C5B33-F20E-164F-9031-C5562601B86B}</x:author>
    <x:author>tc={53F2EE58-39B0-DE26-477B-C7B1A8A28A4E}</x:author>
    <x:author>tc={B8214AAB-7B2A-D87A-79C0-133A685EC54A}</x:author>
    <x:author>tc={5D2CDD8C-D7DD-24B0-3C09-BF0246AF24C8}</x:author>
    <x:author>tc={6282078F-C3F8-50E4-F04E-D19AC2DA38B0}</x:author>
    <x:author>tc={6AB0E958-FFEB-9B08-CBAA-FD012D9BA050}</x:author>
    <x:author>tc={9DC5E38D-9219-9313-1301-4A32809E255C}</x:author>
    <x:author>tc={BD7FB740-7329-D9E5-D701-80D078E6FC19}</x:author>
    <x:author>tc={F27351FA-5A7A-0DB4-E9DC-5F05895A142E}</x:author>
    <x:author>tc={86A4FA1F-54A6-7EC4-F7B5-2FD2658BC7AF}</x:author>
    <x:author>tc={F3961331-67BD-171E-0360-6D0CBB8B2427}</x:author>
    <x:author>tc={3312A450-511A-359E-C6F8-B34CC18D19C5}</x:author>
    <x:author>tc={D06299C9-9892-78D5-3693-A56EA921CA91}</x:author>
    <x:author>tc={BC441707-2748-8B5D-8A51-C553E6A5DCC1}</x:author>
    <x:author>tc={82D3234D-0BB2-17DF-3CC0-91316A6E3755}</x:author>
    <x:author>tc={E9D87E41-8906-3BF1-1AE0-BC5397A7CD11}</x:author>
    <x:author>tc={9E9B7EA0-66E5-1710-A1B1-52EB77202643}</x:author>
    <x:author>tc={7269FBDF-CEF3-7C7A-BEE9-AAD51CB53678}</x:author>
    <x:author>tc={5C8AA3B3-0E75-0B5D-624A-534C965A78BD}</x:author>
    <x:author>tc={C2619BAE-99E9-E1A3-8E8A-ADEA1332D93A}</x:author>
    <x:author>tc={25493E47-013E-DB1F-3A42-B7971D653ECB}</x:author>
    <x:author>tc={64578AC7-AEDF-A4C0-9BF2-ECE93EE01453}</x:author>
    <x:author>tc={17799279-7163-E014-97E0-EE4132F4A930}</x:author>
    <x:author>tc={7A036169-C1A8-AD78-DBC9-2C20A718B709}</x:author>
    <x:author>tc={17705827-ABBC-531D-09DC-13C1864E7EF2}</x:author>
    <x:author>tc={86386B0C-2DAE-1921-B6C7-836BEA3D0D01}</x:author>
    <x:author>tc={D699A588-CB20-374B-FA33-300298ADE08B}</x:author>
    <x:author>tc={745A15A0-4E69-D80D-019B-9E44883D4708}</x:author>
    <x:author>tc={5C0ED84B-031C-AE98-AA25-3580E4289A38}</x:author>
    <x:author>tc={98CDE7A1-2D09-55F6-E297-3D41A1A5FD19}</x:author>
    <x:author>tc={4A6D16C4-27E1-AE43-27A0-8760F65F3F7B}</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Source S02. Audited net toll revenue, rounded to $1.253bn.</x:t>
        </x:r>
      </x:text>
    </x:comment>
    <x:comment ref="B9" authorId="1">
      <x:text>
        <x:r>
          <x:t>[Threaded comment]
Your version of Excel allows you to read this threaded comment; however, any edits to it will get removed if the file is opened in a newer version of Excel. Learn more: https://go.microsoft.com/fwlink/?linkid=870924
Comment:
    Source S03. Preliminary gross Trust revenue = net toll + interest income + other revenue.</x:t>
        </x:r>
      </x:text>
    </x:comment>
    <x:comment ref="B10" authorId="2">
      <x:text>
        <x:r>
          <x:t>[Threaded comment]
Your version of Excel allows you to read this threaded comment; however, any edits to it will get removed if the file is opened in a newer version of Excel. Learn more: https://go.microsoft.com/fwlink/?linkid=870924
Comment:
    Source S03. Preliminary net O&amp;M expense after allocations.</x:t>
        </x:r>
      </x:text>
    </x:comment>
    <x:comment ref="B15" authorId="3">
      <x:text>
        <x:r>
          <x:t>[Threaded comment]
Your version of Excel allows you to read this threaded comment; however, any edits to it will get removed if the file is opened in a newer version of Excel. Learn more: https://go.microsoft.com/fwlink/?linkid=870924
Comment:
    Source S03. Trust-basis O&amp;M used as a partial proxy; not GAAP total operating expense.</x:t>
        </x:r>
      </x:text>
    </x:comment>
    <x:comment ref="B17" authorId="4">
      <x:text>
        <x:r>
          <x:t>[Threaded comment]
Your version of Excel allows you to read this threaded comment; however, any edits to it will get removed if the file is opened in a newer version of Excel. Learn more: https://go.microsoft.com/fwlink/?linkid=870924
Comment:
    Source S03. Preliminary interest income.</x:t>
        </x:r>
      </x:text>
    </x:comment>
    <x:comment ref="B23" authorId="5">
      <x:text>
        <x:r>
          <x:t>[Threaded comment]
Your version of Excel allows you to read this threaded comment; however, any edits to it will get removed if the file is opened in a newer version of Excel. Learn more: https://go.microsoft.com/fwlink/?linkid=870924
Comment:
    Source S02. Audited long-term debt, approximately $8.519bn.</x:t>
        </x:r>
      </x:text>
    </x:comment>
    <x:comment ref="B24" authorId="6">
      <x:text>
        <x:r>
          <x:t>[Threaded comment]
Your version of Excel allows you to read this threaded comment; however, any edits to it will get removed if the file is opened in a newer version of Excel. Learn more: https://go.microsoft.com/fwlink/?linkid=870924
Comment:
    Source S02. Audited debt-service coverage, 1.64x.</x:t>
        </x:r>
      </x:text>
    </x:comment>
    <x:comment ref="C6" authorId="7">
      <x:text>
        <x:r>
          <x:t>[Threaded comment]
Your version of Excel allows you to read this threaded comment; however, any edits to it will get removed if the file is opened in a newer version of Excel. Learn more: https://go.microsoft.com/fwlink/?linkid=870924
Comment:
    Source S05. FY2025 toll revenue, ACFR p.46.</x:t>
        </x:r>
      </x:text>
    </x:comment>
    <x:comment ref="C7" authorId="8">
      <x:text>
        <x:r>
          <x:t>[Threaded comment]
Your version of Excel allows you to read this threaded comment; however, any edits to it will get removed if the file is opened in a newer version of Excel. Learn more: https://go.microsoft.com/fwlink/?linkid=870924
Comment:
    Source S05. No other operating revenue in enterprise-fund operating statement.</x:t>
        </x:r>
      </x:text>
    </x:comment>
    <x:comment ref="C10" authorId="9">
      <x:text>
        <x:r>
          <x:t>[Threaded comment]
Your version of Excel allows you to read this threaded comment; however, any edits to it will get removed if the file is opened in a newer version of Excel. Learn more: https://go.microsoft.com/fwlink/?linkid=870924
Comment:
    Source S05. Total operating expense less depreciation/amortization.</x:t>
        </x:r>
      </x:text>
    </x:comment>
    <x:comment ref="C14" authorId="10">
      <x:text>
        <x:r>
          <x:t>[Threaded comment]
Your version of Excel allows you to read this threaded comment; however, any edits to it will get removed if the file is opened in a newer version of Excel. Learn more: https://go.microsoft.com/fwlink/?linkid=870924
Comment:
    Source S05. Depreciation and amortization, ACFR p.46.</x:t>
        </x:r>
      </x:text>
    </x:comment>
    <x:comment ref="C17" authorId="11">
      <x:text>
        <x:r>
          <x:t>[Threaded comment]
Your version of Excel allows you to read this threaded comment; however, any edits to it will get removed if the file is opened in a newer version of Excel. Learn more: https://go.microsoft.com/fwlink/?linkid=870924
Comment:
    Source S05. Investment earnings, ACFR p.46.</x:t>
        </x:r>
      </x:text>
    </x:comment>
    <x:comment ref="C18" authorId="12">
      <x:text>
        <x:r>
          <x:t>[Threaded comment]
Your version of Excel allows you to read this threaded comment; however, any edits to it will get removed if the file is opened in a newer version of Excel. Learn more: https://go.microsoft.com/fwlink/?linkid=870924
Comment:
    Source S05. Accounting interest expense, ACFR p.46.</x:t>
        </x:r>
      </x:text>
    </x:comment>
    <x:comment ref="C19" authorId="13">
      <x:text>
        <x:r>
          <x:t>[Threaded comment]
Your version of Excel allows you to read this threaded comment; however, any edits to it will get removed if the file is opened in a newer version of Excel. Learn more: https://go.microsoft.com/fwlink/?linkid=870924
Comment:
    Source S05. Calculated net of disclosed other nonoperating lines, excluding transfer.</x:t>
        </x:r>
      </x:text>
    </x:comment>
    <x:comment ref="C20" authorId="14">
      <x:text>
        <x:r>
          <x:t>[Threaded comment]
Your version of Excel allows you to read this threaded comment; however, any edits to it will get removed if the file is opened in a newer version of Excel. Learn more: https://go.microsoft.com/fwlink/?linkid=870924
Comment:
    Source S05. Transfer to county mobility/thoroughfare program.</x:t>
        </x:r>
      </x:text>
    </x:comment>
    <x:comment ref="C21" authorId="15">
      <x:text>
        <x:r>
          <x:t>[Threaded comment]
Your version of Excel allows you to read this threaded comment; however, any edits to it will get removed if the file is opened in a newer version of Excel. Learn more: https://go.microsoft.com/fwlink/?linkid=870924
Comment:
    Source S05. Change in net position.</x:t>
        </x:r>
      </x:text>
    </x:comment>
    <x:comment ref="C22" authorId="16">
      <x:text>
        <x:r>
          <x:t>[Threaded comment]
Your version of Excel allows you to read this threaded comment; however, any edits to it will get removed if the file is opened in a newer version of Excel. Learn more: https://go.microsoft.com/fwlink/?linkid=870924
Comment:
    Source S05. Ending net position.</x:t>
        </x:r>
      </x:text>
    </x:comment>
    <x:comment ref="C23" authorId="17">
      <x:text>
        <x:r>
          <x:t>[Threaded comment]
Your version of Excel allows you to read this threaded comment; however, any edits to it will get removed if the file is opened in a newer version of Excel. Learn more: https://go.microsoft.com/fwlink/?linkid=870924
Comment:
    Source S05. Outstanding bond principal, ACFR debt note.</x:t>
        </x:r>
      </x:text>
    </x:comment>
    <x:comment ref="C24" authorId="18">
      <x:text>
        <x:r>
          <x:t>[Threaded comment]
Your version of Excel allows you to read this threaded comment; however, any edits to it will get removed if the file is opened in a newer version of Excel. Learn more: https://go.microsoft.com/fwlink/?linkid=870924
Comment:
    Source S05. Bond-covenant calculation reported in ACFR narrative; statistical table uses a different definition.</x:t>
        </x:r>
      </x:text>
    </x:comment>
    <x:comment ref="D6" authorId="19">
      <x:text>
        <x:r>
          <x:t>[Threaded comment]
Your version of Excel allows you to read this threaded comment; however, any edits to it will get removed if the file is opened in a newer version of Excel. Learn more: https://go.microsoft.com/fwlink/?linkid=870924
Comment:
    Source S10. Audited headline toll revenue, $276.4m.</x:t>
        </x:r>
      </x:text>
    </x:comment>
    <x:comment ref="D7" authorId="20">
      <x:text>
        <x:r>
          <x:t>[Threaded comment]
Your version of Excel allows you to read this threaded comment; however, any edits to it will get removed if the file is opened in a newer version of Excel. Learn more: https://go.microsoft.com/fwlink/?linkid=870924
Comment:
    Source S09. Final unaudited fee revenue.</x:t>
        </x:r>
      </x:text>
    </x:comment>
    <x:comment ref="D8" authorId="21">
      <x:text>
        <x:r>
          <x:t>[Threaded comment]
Your version of Excel allows you to read this threaded comment; however, any edits to it will get removed if the file is opened in a newer version of Excel. Learn more: https://go.microsoft.com/fwlink/?linkid=870924
Comment:
    Source S09. Final unaudited operating-revenue basis.</x:t>
        </x:r>
      </x:text>
    </x:comment>
    <x:comment ref="D10" authorId="22">
      <x:text>
        <x:r>
          <x:t>[Threaded comment]
Your version of Excel allows you to read this threaded comment; however, any edits to it will get removed if the file is opened in a newer version of Excel. Learn more: https://go.microsoft.com/fwlink/?linkid=870924
Comment:
    Source S09. Final unaudited total operating expense before D&amp;A.</x:t>
        </x:r>
      </x:text>
    </x:comment>
    <x:comment ref="D11" authorId="23">
      <x:text>
        <x:r>
          <x:t>[Threaded comment]
Your version of Excel allows you to read this threaded comment; however, any edits to it will get removed if the file is opened in a newer version of Excel. Learn more: https://go.microsoft.com/fwlink/?linkid=870924
Comment:
    Source S09. Processing and collection expense.</x:t>
        </x:r>
      </x:text>
    </x:comment>
    <x:comment ref="D12" authorId="24">
      <x:text>
        <x:r>
          <x:t>[Threaded comment]
Your version of Excel allows you to read this threaded comment; however, any edits to it will get removed if the file is opened in a newer version of Excel. Learn more: https://go.microsoft.com/fwlink/?linkid=870924
Comment:
    Source S09. Roadway operations and maintenance.</x:t>
        </x:r>
      </x:text>
    </x:comment>
    <x:comment ref="D13" authorId="25">
      <x:text>
        <x:r>
          <x:t>[Threaded comment]
Your version of Excel allows you to read this threaded comment; however, any edits to it will get removed if the file is opened in a newer version of Excel. Learn more: https://go.microsoft.com/fwlink/?linkid=870924
Comment:
    Source S09. Salary + administration + toll operations + consulting + contingencies.</x:t>
        </x:r>
      </x:text>
    </x:comment>
    <x:comment ref="D14" authorId="26">
      <x:text>
        <x:r>
          <x:t>[Threaded comment]
Your version of Excel allows you to read this threaded comment; however, any edits to it will get removed if the file is opened in a newer version of Excel. Learn more: https://go.microsoft.com/fwlink/?linkid=870924
Comment:
    Source S09. Amortization plus depreciation.</x:t>
        </x:r>
      </x:text>
    </x:comment>
    <x:comment ref="D17" authorId="27">
      <x:text>
        <x:r>
          <x:t>[Threaded comment]
Your version of Excel allows you to read this threaded comment; however, any edits to it will get removed if the file is opened in a newer version of Excel. Learn more: https://go.microsoft.com/fwlink/?linkid=870924
Comment:
    Source S09. Interest income.</x:t>
        </x:r>
      </x:text>
    </x:comment>
    <x:comment ref="D18" authorId="28">
      <x:text>
        <x:r>
          <x:t>[Threaded comment]
Your version of Excel allows you to read this threaded comment; however, any edits to it will get removed if the file is opened in a newer version of Excel. Learn more: https://go.microsoft.com/fwlink/?linkid=870924
Comment:
    Source S09. Interest expense — debt obligations.</x:t>
        </x:r>
      </x:text>
    </x:comment>
    <x:comment ref="D20" authorId="29">
      <x:text>
        <x:r>
          <x:t>[Threaded comment]
Your version of Excel allows you to read this threaded comment; however, any edits to it will get removed if the file is opened in a newer version of Excel. Learn more: https://go.microsoft.com/fwlink/?linkid=870924
Comment:
    Source S09. CAMPO Regional Infrastructure Fund payment.</x:t>
        </x:r>
      </x:text>
    </x:comment>
    <x:comment ref="D21" authorId="30">
      <x:text>
        <x:r>
          <x:t>[Threaded comment]
Your version of Excel allows you to read this threaded comment; however, any edits to it will get removed if the file is opened in a newer version of Excel. Learn more: https://go.microsoft.com/fwlink/?linkid=870924
Comment:
    Source S09. Reported final monthly net income; not substituted for audited change in net position.</x:t>
        </x:r>
      </x:text>
    </x:comment>
    <x:comment ref="D23" authorId="31">
      <x:text>
        <x:r>
          <x:t>[Threaded comment]
Your version of Excel allows you to read this threaded comment; however, any edits to it will get removed if the file is opened in a newer version of Excel. Learn more: https://go.microsoft.com/fwlink/?linkid=870924
Comment:
    Source S10. Audited debt principal, approximately $2.448bn.</x:t>
        </x:r>
      </x:text>
    </x:comment>
    <x:comment ref="D24" authorId="32">
      <x:text>
        <x:r>
          <x:t>[Threaded comment]
Your version of Excel allows you to read this threaded comment; however, any edits to it will get removed if the file is opened in a newer version of Excel. Learn more: https://go.microsoft.com/fwlink/?linkid=870924
Comment:
    Source S10. Audited system debt-service coverage, 2.28x.</x:t>
        </x:r>
      </x:text>
    </x:comment>
    <x:comment ref="E6" authorId="33">
      <x:text>
        <x:r>
          <x:t>[Threaded comment]
Your version of Excel allows you to read this threaded comment; however, any edits to it will get removed if the file is opened in a newer version of Excel. Learn more: https://go.microsoft.com/fwlink/?linkid=870924
Comment:
    Source S11. CTTS operating revenue.</x:t>
        </x:r>
      </x:text>
    </x:comment>
    <x:comment ref="E8" authorId="34">
      <x:text>
        <x:r>
          <x:t>[Threaded comment]
Your version of Excel allows you to read this threaded comment; however, any edits to it will get removed if the file is opened in a newer version of Excel. Learn more: https://go.microsoft.com/fwlink/?linkid=870924
Comment:
    Source S11. CTTS operating revenue used as recurring-obligation denominator.</x:t>
        </x:r>
      </x:text>
    </x:comment>
    <x:comment ref="E10" authorId="35">
      <x:text>
        <x:r>
          <x:t>[Threaded comment]
Your version of Excel allows you to read this threaded comment; however, any edits to it will get removed if the file is opened in a newer version of Excel. Learn more: https://go.microsoft.com/fwlink/?linkid=870924
Comment:
    Source S11. CTTS operating expense excluding separately disclosed repairs/maintenance.</x:t>
        </x:r>
      </x:text>
    </x:comment>
    <x:comment ref="E12" authorId="36">
      <x:text>
        <x:r>
          <x:t>[Threaded comment]
Your version of Excel allows you to read this threaded comment; however, any edits to it will get removed if the file is opened in a newer version of Excel. Learn more: https://go.microsoft.com/fwlink/?linkid=870924
Comment:
    Source S11. CTTS repairs and maintenance.</x:t>
        </x:r>
      </x:text>
    </x:comment>
    <x:comment ref="F6" authorId="37">
      <x:text>
        <x:r>
          <x:t>[Threaded comment]
Your version of Excel allows you to read this threaded comment; however, any edits to it will get removed if the file is opened in a newer version of Excel. Learn more: https://go.microsoft.com/fwlink/?linkid=870924
Comment:
    Source S11. Grand Parkway operating revenue.</x:t>
        </x:r>
      </x:text>
    </x:comment>
    <x:comment ref="F8" authorId="38">
      <x:text>
        <x:r>
          <x:t>[Threaded comment]
Your version of Excel allows you to read this threaded comment; however, any edits to it will get removed if the file is opened in a newer version of Excel. Learn more: https://go.microsoft.com/fwlink/?linkid=870924
Comment:
    Source S11. Grand Parkway operating revenue used as recurring-obligation denominator.</x:t>
        </x:r>
      </x:text>
    </x:comment>
    <x:comment ref="F10" authorId="39">
      <x:text>
        <x:r>
          <x:t>[Threaded comment]
Your version of Excel allows you to read this threaded comment; however, any edits to it will get removed if the file is opened in a newer version of Excel. Learn more: https://go.microsoft.com/fwlink/?linkid=870924
Comment:
    Source S11. Grand Parkway operating expense.</x:t>
        </x:r>
      </x:text>
    </x:comment>
    <x:comment ref="F12" authorId="40">
      <x:text>
        <x:r>
          <x:t>[Threaded comment]
Your version of Excel allows you to read this threaded comment; however, any edits to it will get removed if the file is opened in a newer version of Excel. Learn more: https://go.microsoft.com/fwlink/?linkid=870924
Comment:
    Source S11. Grand Parkway repairs and maintenance.</x:t>
        </x:r>
      </x:text>
    </x:comment>
    <x:comment ref="G6" authorId="41">
      <x:text>
        <x:r>
          <x:t>[Threaded comment]
Your version of Excel allows you to read this threaded comment; however, any edits to it will get removed if the file is opened in a newer version of Excel. Learn more: https://go.microsoft.com/fwlink/?linkid=870924
Comment:
    Source S25. FY2025 toll revenue.</x:t>
        </x:r>
      </x:text>
    </x:comment>
    <x:comment ref="G10" authorId="42">
      <x:text>
        <x:r>
          <x:t>[Threaded comment]
Your version of Excel allows you to read this threaded comment; however, any edits to it will get removed if the file is opened in a newer version of Excel. Learn more: https://go.microsoft.com/fwlink/?linkid=870924
Comment:
    Source S25. Operating cash-like expenses before depreciation.</x:t>
        </x:r>
      </x:text>
    </x:comment>
    <x:comment ref="G11" authorId="43">
      <x:text>
        <x:r>
          <x:t>[Threaded comment]
Your version of Excel allows you to read this threaded comment; however, any edits to it will get removed if the file is opened in a newer version of Excel. Learn more: https://go.microsoft.com/fwlink/?linkid=870924
Comment:
    Source S25. Collection expense.</x:t>
        </x:r>
      </x:text>
    </x:comment>
    <x:comment ref="G12" authorId="44">
      <x:text>
        <x:r>
          <x:t>[Threaded comment]
Your version of Excel allows you to read this threaded comment; however, any edits to it will get removed if the file is opened in a newer version of Excel. Learn more: https://go.microsoft.com/fwlink/?linkid=870924
Comment:
    Source S25. Maintenance expense.</x:t>
        </x:r>
      </x:text>
    </x:comment>
    <x:comment ref="G13" authorId="45">
      <x:text>
        <x:r>
          <x:t>[Threaded comment]
Your version of Excel allows you to read this threaded comment; however, any edits to it will get removed if the file is opened in a newer version of Excel. Learn more: https://go.microsoft.com/fwlink/?linkid=870924
Comment:
    Source S25. Personnel, professional, law enforcement, travel and utilities.</x:t>
        </x:r>
      </x:text>
    </x:comment>
    <x:comment ref="G14" authorId="46">
      <x:text>
        <x:r>
          <x:t>[Threaded comment]
Your version of Excel allows you to read this threaded comment; however, any edits to it will get removed if the file is opened in a newer version of Excel. Learn more: https://go.microsoft.com/fwlink/?linkid=870924
Comment:
    Source S25. Depreciation.</x:t>
        </x:r>
      </x:text>
    </x:comment>
    <x:comment ref="G17" authorId="47">
      <x:text>
        <x:r>
          <x:t>[Threaded comment]
Your version of Excel allows you to read this threaded comment; however, any edits to it will get removed if the file is opened in a newer version of Excel. Learn more: https://go.microsoft.com/fwlink/?linkid=870924
Comment:
    Source S25. Investment income.</x:t>
        </x:r>
      </x:text>
    </x:comment>
    <x:comment ref="G18" authorId="48">
      <x:text>
        <x:r>
          <x:t>[Threaded comment]
Your version of Excel allows you to read this threaded comment; however, any edits to it will get removed if the file is opened in a newer version of Excel. Learn more: https://go.microsoft.com/fwlink/?linkid=870924
Comment:
    Source S25. Interest and fiscal charges.</x:t>
        </x:r>
      </x:text>
    </x:comment>
    <x:comment ref="G19" authorId="49">
      <x:text>
        <x:r>
          <x:t>[Threaded comment]
Your version of Excel allows you to read this threaded comment; however, any edits to it will get removed if the file is opened in a newer version of Excel. Learn more: https://go.microsoft.com/fwlink/?linkid=870924
Comment:
    Source S25. Debt-issuance expense shown as other nonoperating item.</x:t>
        </x:r>
      </x:text>
    </x:comment>
    <x:comment ref="G21" authorId="50">
      <x:text>
        <x:r>
          <x:t>[Threaded comment]
Your version of Excel allows you to read this threaded comment; however, any edits to it will get removed if the file is opened in a newer version of Excel. Learn more: https://go.microsoft.com/fwlink/?linkid=870924
Comment:
    Source S25. Change in net position.</x:t>
        </x:r>
      </x:text>
    </x:comment>
    <x:comment ref="G22" authorId="51">
      <x:text>
        <x:r>
          <x:t>[Threaded comment]
Your version of Excel allows you to read this threaded comment; however, any edits to it will get removed if the file is opened in a newer version of Excel. Learn more: https://go.microsoft.com/fwlink/?linkid=870924
Comment:
    Source S25. Ending net position.</x:t>
        </x:r>
      </x:text>
    </x:comment>
    <x:comment ref="G23" authorId="52">
      <x:text>
        <x:r>
          <x:t>[Threaded comment]
Your version of Excel allows you to read this threaded comment; however, any edits to it will get removed if the file is opened in a newer version of Excel. Learn more: https://go.microsoft.com/fwlink/?linkid=870924
Comment:
    Source S25. Bond principal outstanding.</x:t>
        </x:r>
      </x:text>
    </x:comment>
    <x:comment ref="H6" authorId="53">
      <x:text>
        <x:r>
          <x:t>[Threaded comment]
Your version of Excel allows you to read this threaded comment; however, any edits to it will get removed if the file is opened in a newer version of Excel. Learn more: https://go.microsoft.com/fwlink/?linkid=870924
Comment:
    Source S26. Rounded FY2025 toll revenue; exact page-level capture should be refreshed before publication use.</x:t>
        </x:r>
      </x:text>
    </x:comment>
    <x:comment ref="H15" authorId="54">
      <x:text>
        <x:r>
          <x:t>[Threaded comment]
Your version of Excel allows you to read this threaded comment; however, any edits to it will get removed if the file is opened in a newer version of Excel. Learn more: https://go.microsoft.com/fwlink/?linkid=870924
Comment:
    Source S26. Total operating expense captured from FY2025 report; decomposition unavailable.</x:t>
        </x:r>
      </x:text>
    </x:comment>
    <x:comment ref="H23" authorId="55">
      <x:text>
        <x:r>
          <x:t>[Threaded comment]
Your version of Excel allows you to read this threaded comment; however, any edits to it will get removed if the file is opened in a newer version of Excel. Learn more: https://go.microsoft.com/fwlink/?linkid=870924
Comment:
    Source S26. Debt principal outstanding.</x:t>
        </x:r>
      </x:text>
    </x:comment>
  </x:commentList>
</x:comments>
</file>

<file path=xl/comments3.xml><?xml version="1.0" encoding="utf-8"?>
<x:comments xmlns:x="http://schemas.openxmlformats.org/spreadsheetml/2006/main">
  <x:authors>
    <x:author>tc={81D6204F-B852-21B0-EE55-840BDA1C07FA}</x:author>
    <x:author>tc={2827C3E2-D531-DA9C-36EA-AF9B224F98BE}</x:author>
    <x:author>tc={A425B155-B0E1-4F74-1A12-18287E271766}</x:author>
    <x:author>tc={8443C9DA-BDC2-3E42-CDB0-C6EF69F02B84}</x:author>
    <x:author>tc={8A897B9A-BD08-2E38-31DA-11E7F964EADD}</x:author>
    <x:author>tc={907AF219-4DB5-272D-282B-BC1F0C3BA3B1}</x:author>
    <x:author>tc={3799ADD2-03CD-3CFE-67A6-65A8B2464FA4}</x:author>
    <x:author>tc={839D367B-BAFC-A541-FB47-090CDB51CAE7}</x:author>
    <x:author>tc={76A06D43-D40D-B112-1748-57A18BCB48FF}</x:author>
    <x:author>tc={983B8D5E-FC02-55C6-8120-A31B502579C8}</x:author>
    <x:author>tc={EC04E5C8-418F-AC55-FF09-CA4B5B358212}</x:author>
    <x:author>tc={81F9D2A6-8A39-5B38-2C95-E16587E85E29}</x:author>
    <x:author>tc={5873B3B2-4080-5854-B8CE-894237932611}</x:author>
    <x:author>tc={6AB0127D-DB2A-4E70-C34D-E015E580B9C5}</x:author>
    <x:author>tc={006022A5-568C-9FF0-093B-F831275E44A5}</x:author>
    <x:author>tc={D764A14D-4F45-68EF-6F56-C4DD855191F4}</x:author>
    <x:author>tc={68AE99B5-831A-71E9-D38B-3B7E638E2EEC}</x:author>
    <x:author>tc={CF4F35D2-E055-3476-1F8B-C6E094EFAA91}</x:author>
    <x:author>tc={864C5772-B23A-CDF5-65BE-511015B118AC}</x:author>
    <x:author>tc={67A12059-A175-5BC9-448D-8A56A3059D5F}</x:author>
    <x:author>tc={E8EA2EB3-EE6B-629B-0907-F0857EE4D2BC}</x:author>
    <x:author>tc={FF4A8DB4-174A-B569-5083-EB380ED05307}</x:author>
    <x:author>tc={1EB144E2-E6BB-69D1-E3A4-EF4ED7816817}</x:author>
    <x:author>tc={F4EFC14C-99A0-00A2-9741-DCD71AA98B95}</x:author>
    <x:author>tc={B5E3D56D-C5C5-9524-B22E-021C2B78FAB4}</x:author>
    <x:author>tc={0024F2FD-663F-ABE2-6E76-F755D2D53592}</x:author>
    <x:author>tc={C4B76F13-6047-C4FF-014D-ADDAECDBCAAB}</x:author>
    <x:author>tc={771AD747-097C-0EF2-0052-ED6978CD0C5B}</x:author>
    <x:author>tc={77E419DD-C62D-0588-B75F-8D96ABEEF168}</x:author>
    <x:author>tc={F20FF2E9-A2C0-7B00-A4BF-DD0A06538CE6}</x:author>
    <x:author>tc={843A15E6-4738-8059-9D3C-5AAAE2066B48}</x:author>
    <x:author>tc={04CF680D-3D1B-5BE2-7252-1D0F1DCD27C8}</x:author>
    <x:author>tc={3BDC0FD3-169B-18A1-2D7C-4013277D3A28}</x:author>
    <x:author>tc={EC964973-1A68-FB44-EF0A-CBE4767ECB46}</x:author>
    <x:author>tc={1C0E29BC-1D8D-0B12-27E3-AECC34503B73}</x:author>
    <x:author>tc={D08E2E92-3AE0-10D8-5A3E-A6618D0DFBC8}</x:author>
    <x:author>tc={8E7AA707-F044-580D-5AF9-C47D667E82B3}</x:author>
    <x:author>tc={64A5BAF0-88B6-5CC4-E1C6-7E9C948D1B2B}</x:author>
    <x:author>tc={BC7BB376-33B8-BC12-4C04-A3F794C12878}</x:author>
    <x:author>tc={6A8508E2-26CB-98AA-C84F-822144933035}</x:author>
    <x:author>tc={0CDA5FA5-BC65-FD3C-47B5-C9F53DEEB575}</x:author>
    <x:author>tc={8F33D54C-D2F1-47E1-40BD-86EFCEFC5B80}</x:author>
    <x:author>tc={0B33E221-8859-4E2C-5272-0D050137BCE3}</x:author>
    <x:author>tc={B291A733-42C2-082A-D315-DFD8A9B7D0F2}</x:author>
    <x:author>tc={DF358362-20D4-BAF7-9663-49F715DE5D96}</x:author>
  </x:authors>
  <x:commentList>
    <x:comment ref="B7" authorId="0">
      <x:text>
        <x:r>
          <x:t>[Threaded comment]
Your version of Excel allows you to read this threaded comment; however, any edits to it will get removed if the file is opened in a newer version of Excel. Learn more: https://go.microsoft.com/fwlink/?linkid=870924
Comment:
    Source S03. Customer receipts.</x:t>
        </x:r>
      </x:text>
    </x:comment>
    <x:comment ref="B8" authorId="1">
      <x:text>
        <x:r>
          <x:t>[Threaded comment]
Your version of Excel allows you to read this threaded comment; however, any edits to it will get removed if the file is opened in a newer version of Excel. Learn more: https://go.microsoft.com/fwlink/?linkid=870924
Comment:
    Source S03. Legal-settlement and other receipts.</x:t>
        </x:r>
      </x:text>
    </x:comment>
    <x:comment ref="B10" authorId="2">
      <x:text>
        <x:r>
          <x:t>[Threaded comment]
Your version of Excel allows you to read this threaded comment; however, any edits to it will get removed if the file is opened in a newer version of Excel. Learn more: https://go.microsoft.com/fwlink/?linkid=870924
Comment:
    Source S03. Capital contribution / BAB subsidy.</x:t>
        </x:r>
      </x:text>
    </x:comment>
    <x:comment ref="B11" authorId="3">
      <x:text>
        <x:r>
          <x:t>[Threaded comment]
Your version of Excel allows you to read this threaded comment; however, any edits to it will get removed if the file is opened in a newer version of Excel. Learn more: https://go.microsoft.com/fwlink/?linkid=870924
Comment:
    Source S03. Refunding bond proceeds.</x:t>
        </x:r>
      </x:text>
    </x:comment>
    <x:comment ref="B15" authorId="4">
      <x:text>
        <x:r>
          <x:t>[Threaded comment]
Your version of Excel allows you to read this threaded comment; however, any edits to it will get removed if the file is opened in a newer version of Excel. Learn more: https://go.microsoft.com/fwlink/?linkid=870924
Comment:
    Source S03. Cash paid to employees.</x:t>
        </x:r>
      </x:text>
    </x:comment>
    <x:comment ref="B16" authorId="5">
      <x:text>
        <x:r>
          <x:t>[Threaded comment]
Your version of Excel allows you to read this threaded comment; however, any edits to it will get removed if the file is opened in a newer version of Excel. Learn more: https://go.microsoft.com/fwlink/?linkid=870924
Comment:
    Source S03. Cash paid to contractors and suppliers.</x:t>
        </x:r>
      </x:text>
    </x:comment>
    <x:comment ref="B17" authorId="6">
      <x:text>
        <x:r>
          <x:t>[Threaded comment]
Your version of Excel allows you to read this threaded comment; however, any edits to it will get removed if the file is opened in a newer version of Excel. Learn more: https://go.microsoft.com/fwlink/?linkid=870924
Comment:
    Source S03. Principal paid.</x:t>
        </x:r>
      </x:text>
    </x:comment>
    <x:comment ref="B18" authorId="7">
      <x:text>
        <x:r>
          <x:t>[Threaded comment]
Your version of Excel allows you to read this threaded comment; however, any edits to it will get removed if the file is opened in a newer version of Excel. Learn more: https://go.microsoft.com/fwlink/?linkid=870924
Comment:
    Source S03. Cash interest paid.</x:t>
        </x:r>
      </x:text>
    </x:comment>
    <x:comment ref="B20" authorId="8">
      <x:text>
        <x:r>
          <x:t>[Threaded comment]
Your version of Excel allows you to read this threaded comment; however, any edits to it will get removed if the file is opened in a newer version of Excel. Learn more: https://go.microsoft.com/fwlink/?linkid=870924
Comment:
    Source S03. Capital asset purchases.</x:t>
        </x:r>
      </x:text>
    </x:comment>
    <x:comment ref="B22" authorId="9">
      <x:text>
        <x:r>
          <x:t>[Threaded comment]
Your version of Excel allows you to read this threaded comment; however, any edits to it will get removed if the file is opened in a newer version of Excel. Learn more: https://go.microsoft.com/fwlink/?linkid=870924
Comment:
    Source S03. Refunding escrow deposit.</x:t>
        </x:r>
      </x:text>
    </x:comment>
    <x:comment ref="B23" authorId="10">
      <x:text>
        <x:r>
          <x:t>[Threaded comment]
Your version of Excel allows you to read this threaded comment; however, any edits to it will get removed if the file is opened in a newer version of Excel. Learn more: https://go.microsoft.com/fwlink/?linkid=870924
Comment:
    Source S03. Residual = gross Trust revenue less net O&amp;M less net debt service.</x:t>
        </x:r>
      </x:text>
    </x:comment>
    <x:comment ref="B24" authorId="11">
      <x:text>
        <x:r>
          <x:t>[Threaded comment]
Your version of Excel allows you to read this threaded comment; however, any edits to it will get removed if the file is opened in a newer version of Excel. Learn more: https://go.microsoft.com/fwlink/?linkid=870924
Comment:
    Source S03. Ending cash.</x:t>
        </x:r>
      </x:text>
    </x:comment>
    <x:comment ref="C6" authorId="12">
      <x:text>
        <x:r>
          <x:t>[Threaded comment]
Your version of Excel allows you to read this threaded comment; however, any edits to it will get removed if the file is opened in a newer version of Excel. Learn more: https://go.microsoft.com/fwlink/?linkid=870924
Comment:
    Source S05. Beginning cash/equivalents, ACFR p.47.</x:t>
        </x:r>
      </x:text>
    </x:comment>
    <x:comment ref="C7" authorId="13">
      <x:text>
        <x:r>
          <x:t>[Threaded comment]
Your version of Excel allows you to read this threaded comment; however, any edits to it will get removed if the file is opened in a newer version of Excel. Learn more: https://go.microsoft.com/fwlink/?linkid=870924
Comment:
    Source S05. Receipts from customers.</x:t>
        </x:r>
      </x:text>
    </x:comment>
    <x:comment ref="C8" authorId="14">
      <x:text>
        <x:r>
          <x:t>[Threaded comment]
Your version of Excel allows you to read this threaded comment; however, any edits to it will get removed if the file is opened in a newer version of Excel. Learn more: https://go.microsoft.com/fwlink/?linkid=870924
Comment:
    Source S05. Miscellaneous reimbursements plus receipts from other governments.</x:t>
        </x:r>
      </x:text>
    </x:comment>
    <x:comment ref="C9" authorId="15">
      <x:text>
        <x:r>
          <x:t>[Threaded comment]
Your version of Excel allows you to read this threaded comment; however, any edits to it will get removed if the file is opened in a newer version of Excel. Learn more: https://go.microsoft.com/fwlink/?linkid=870924
Comment:
    Source S05. Cash investment interest.</x:t>
        </x:r>
      </x:text>
    </x:comment>
    <x:comment ref="C11" authorId="16">
      <x:text>
        <x:r>
          <x:t>[Threaded comment]
Your version of Excel allows you to read this threaded comment; however, any edits to it will get removed if the file is opened in a newer version of Excel. Learn more: https://go.microsoft.com/fwlink/?linkid=870924
Comment:
    Source S05. Commercial-paper proceeds.</x:t>
        </x:r>
      </x:text>
    </x:comment>
    <x:comment ref="C13" authorId="17">
      <x:text>
        <x:r>
          <x:t>[Threaded comment]
Your version of Excel allows you to read this threaded comment; however, any edits to it will get removed if the file is opened in a newer version of Excel. Learn more: https://go.microsoft.com/fwlink/?linkid=870924
Comment:
    Source S05. Investment sales and maturities.</x:t>
        </x:r>
      </x:text>
    </x:comment>
    <x:comment ref="C15" authorId="18">
      <x:text>
        <x:r>
          <x:t>[Threaded comment]
Your version of Excel allows you to read this threaded comment; however, any edits to it will get removed if the file is opened in a newer version of Excel. Learn more: https://go.microsoft.com/fwlink/?linkid=870924
Comment:
    Source S05. Employee payments.</x:t>
        </x:r>
      </x:text>
    </x:comment>
    <x:comment ref="C16" authorId="19">
      <x:text>
        <x:r>
          <x:t>[Threaded comment]
Your version of Excel allows you to read this threaded comment; however, any edits to it will get removed if the file is opened in a newer version of Excel. Learn more: https://go.microsoft.com/fwlink/?linkid=870924
Comment:
    Source S05. Vendor payments.</x:t>
        </x:r>
      </x:text>
    </x:comment>
    <x:comment ref="C17" authorId="20">
      <x:text>
        <x:r>
          <x:t>[Threaded comment]
Your version of Excel allows you to read this threaded comment; however, any edits to it will get removed if the file is opened in a newer version of Excel. Learn more: https://go.microsoft.com/fwlink/?linkid=870924
Comment:
    Source S05. Bond principal paid.</x:t>
        </x:r>
      </x:text>
    </x:comment>
    <x:comment ref="C18" authorId="21">
      <x:text>
        <x:r>
          <x:t>[Threaded comment]
Your version of Excel allows you to read this threaded comment; however, any edits to it will get removed if the file is opened in a newer version of Excel. Learn more: https://go.microsoft.com/fwlink/?linkid=870924
Comment:
    Source S05. Cash interest paid.</x:t>
        </x:r>
      </x:text>
    </x:comment>
    <x:comment ref="C19" authorId="22">
      <x:text>
        <x:r>
          <x:t>[Threaded comment]
Your version of Excel allows you to read this threaded comment; however, any edits to it will get removed if the file is opened in a newer version of Excel. Learn more: https://go.microsoft.com/fwlink/?linkid=870924
Comment:
    Source S05. CP repayment + lease/subscription principal + bond fees.</x:t>
        </x:r>
      </x:text>
    </x:comment>
    <x:comment ref="C20" authorId="23">
      <x:text>
        <x:r>
          <x:t>[Threaded comment]
Your version of Excel allows you to read this threaded comment; however, any edits to it will get removed if the file is opened in a newer version of Excel. Learn more: https://go.microsoft.com/fwlink/?linkid=870924
Comment:
    Source S05. Capital asset purchases.</x:t>
        </x:r>
      </x:text>
    </x:comment>
    <x:comment ref="C21" authorId="24">
      <x:text>
        <x:r>
          <x:t>[Threaded comment]
Your version of Excel allows you to read this threaded comment; however, any edits to it will get removed if the file is opened in a newer version of Excel. Learn more: https://go.microsoft.com/fwlink/?linkid=870924
Comment:
    Source S05. Transfer to mobility/thoroughfare program.</x:t>
        </x:r>
      </x:text>
    </x:comment>
    <x:comment ref="C22" authorId="25">
      <x:text>
        <x:r>
          <x:t>[Threaded comment]
Your version of Excel allows you to read this threaded comment; however, any edits to it will get removed if the file is opened in a newer version of Excel. Learn more: https://go.microsoft.com/fwlink/?linkid=870924
Comment:
    Source S05. Investment purchases.</x:t>
        </x:r>
      </x:text>
    </x:comment>
    <x:comment ref="C24" authorId="26">
      <x:text>
        <x:r>
          <x:t>[Threaded comment]
Your version of Excel allows you to read this threaded comment; however, any edits to it will get removed if the file is opened in a newer version of Excel. Learn more: https://go.microsoft.com/fwlink/?linkid=870924
Comment:
    Source S05. Ending cash/equivalents.</x:t>
        </x:r>
      </x:text>
    </x:comment>
    <x:comment ref="D7" authorId="27">
      <x:text>
        <x:r>
          <x:t>[Threaded comment]
Your version of Excel allows you to read this threaded comment; however, any edits to it will get removed if the file is opened in a newer version of Excel. Learn more: https://go.microsoft.com/fwlink/?linkid=870924
Comment:
    Source S09. Toll receipts.</x:t>
        </x:r>
      </x:text>
    </x:comment>
    <x:comment ref="D8" authorId="28">
      <x:text>
        <x:r>
          <x:t>[Threaded comment]
Your version of Excel allows you to read this threaded comment; however, any edits to it will get removed if the file is opened in a newer version of Excel. Learn more: https://go.microsoft.com/fwlink/?linkid=870924
Comment:
    Source S09. Other receipts.</x:t>
        </x:r>
      </x:text>
    </x:comment>
    <x:comment ref="D9" authorId="29">
      <x:text>
        <x:r>
          <x:t>[Threaded comment]
Your version of Excel allows you to read this threaded comment; however, any edits to it will get removed if the file is opened in a newer version of Excel. Learn more: https://go.microsoft.com/fwlink/?linkid=870924
Comment:
    Source S09. Investment-interest receipts.</x:t>
        </x:r>
      </x:text>
    </x:comment>
    <x:comment ref="D13" authorId="30">
      <x:text>
        <x:r>
          <x:t>[Threaded comment]
Your version of Excel allows you to read this threaded comment; however, any edits to it will get removed if the file is opened in a newer version of Excel. Learn more: https://go.microsoft.com/fwlink/?linkid=870924
Comment:
    Source S09. Investment line as presented; sign classification unresolved.</x:t>
        </x:r>
      </x:text>
    </x:comment>
    <x:comment ref="D15" authorId="31">
      <x:text>
        <x:r>
          <x:t>[Threaded comment]
Your version of Excel allows you to read this threaded comment; however, any edits to it will get removed if the file is opened in a newer version of Excel. Learn more: https://go.microsoft.com/fwlink/?linkid=870924
Comment:
    Source S09. Payments to employees.</x:t>
        </x:r>
      </x:text>
    </x:comment>
    <x:comment ref="D16" authorId="32">
      <x:text>
        <x:r>
          <x:t>[Threaded comment]
Your version of Excel allows you to read this threaded comment; however, any edits to it will get removed if the file is opened in a newer version of Excel. Learn more: https://go.microsoft.com/fwlink/?linkid=870924
Comment:
    Source S09. Payments to vendors.</x:t>
        </x:r>
      </x:text>
    </x:comment>
    <x:comment ref="D17" authorId="33">
      <x:text>
        <x:r>
          <x:t>[Threaded comment]
Your version of Excel allows you to read this threaded comment; however, any edits to it will get removed if the file is opened in a newer version of Excel. Learn more: https://go.microsoft.com/fwlink/?linkid=870924
Comment:
    Source S09. Principal/loan payments.</x:t>
        </x:r>
      </x:text>
    </x:comment>
    <x:comment ref="D18" authorId="34">
      <x:text>
        <x:r>
          <x:t>[Threaded comment]
Your version of Excel allows you to read this threaded comment; however, any edits to it will get removed if the file is opened in a newer version of Excel. Learn more: https://go.microsoft.com/fwlink/?linkid=870924
Comment:
    Source S09. Cash interest.</x:t>
        </x:r>
      </x:text>
    </x:comment>
    <x:comment ref="D19" authorId="35">
      <x:text>
        <x:r>
          <x:t>[Threaded comment]
Your version of Excel allows you to read this threaded comment; however, any edits to it will get removed if the file is opened in a newer version of Excel. Learn more: https://go.microsoft.com/fwlink/?linkid=870924
Comment:
    Source S09. CAMPO RIF payment.</x:t>
        </x:r>
      </x:text>
    </x:comment>
    <x:comment ref="D20" authorId="36">
      <x:text>
        <x:r>
          <x:t>[Threaded comment]
Your version of Excel allows you to read this threaded comment; however, any edits to it will get removed if the file is opened in a newer version of Excel. Learn more: https://go.microsoft.com/fwlink/?linkid=870924
Comment:
    Source S09. Nonproject capital plus intangible assets; excludes unresolved CIP sign.</x:t>
        </x:r>
      </x:text>
    </x:comment>
    <x:comment ref="D21" authorId="37">
      <x:text>
        <x:r>
          <x:t>[Threaded comment]
Your version of Excel allows you to read this threaded comment; however, any edits to it will get removed if the file is opened in a newer version of Excel. Learn more: https://go.microsoft.com/fwlink/?linkid=870924
Comment:
    Source S09. CAMPO RIF payment shown as external transfer.</x:t>
        </x:r>
      </x:text>
    </x:comment>
    <x:comment ref="D24" authorId="38">
      <x:text>
        <x:r>
          <x:t>[Threaded comment]
Your version of Excel allows you to read this threaded comment; however, any edits to it will get removed if the file is opened in a newer version of Excel. Learn more: https://go.microsoft.com/fwlink/?linkid=870924
Comment:
    Source S09. Ending cash.</x:t>
        </x:r>
      </x:text>
    </x:comment>
    <x:comment ref="E16" authorId="39">
      <x:text>
        <x:r>
          <x:t>[Threaded comment]
Your version of Excel allows you to read this threaded comment; however, any edits to it will get removed if the file is opened in a newer version of Excel. Learn more: https://go.microsoft.com/fwlink/?linkid=870924
Comment:
    Source S11. CTTS operating expense.</x:t>
        </x:r>
      </x:text>
    </x:comment>
    <x:comment ref="E18" authorId="40">
      <x:text>
        <x:r>
          <x:t>[Threaded comment]
Your version of Excel allows you to read this threaded comment; however, any edits to it will get removed if the file is opened in a newer version of Excel. Learn more: https://go.microsoft.com/fwlink/?linkid=870924
Comment:
    Source S11. CTTS debt service.</x:t>
        </x:r>
      </x:text>
    </x:comment>
    <x:comment ref="E23" authorId="41">
      <x:text>
        <x:r>
          <x:t>[Threaded comment]
Your version of Excel allows you to read this threaded comment; however, any edits to it will get removed if the file is opened in a newer version of Excel. Learn more: https://go.microsoft.com/fwlink/?linkid=870924
Comment:
    Source S11. CTTS residual reserve.</x:t>
        </x:r>
      </x:text>
    </x:comment>
    <x:comment ref="F16" authorId="42">
      <x:text>
        <x:r>
          <x:t>[Threaded comment]
Your version of Excel allows you to read this threaded comment; however, any edits to it will get removed if the file is opened in a newer version of Excel. Learn more: https://go.microsoft.com/fwlink/?linkid=870924
Comment:
    Source S11. Grand Parkway operating expense.</x:t>
        </x:r>
      </x:text>
    </x:comment>
    <x:comment ref="F18" authorId="43">
      <x:text>
        <x:r>
          <x:t>[Threaded comment]
Your version of Excel allows you to read this threaded comment; however, any edits to it will get removed if the file is opened in a newer version of Excel. Learn more: https://go.microsoft.com/fwlink/?linkid=870924
Comment:
    Source S11. Grand Parkway debt service.</x:t>
        </x:r>
      </x:text>
    </x:comment>
    <x:comment ref="F23" authorId="44">
      <x:text>
        <x:r>
          <x:t>[Threaded comment]
Your version of Excel allows you to read this threaded comment; however, any edits to it will get removed if the file is opened in a newer version of Excel. Learn more: https://go.microsoft.com/fwlink/?linkid=870924
Comment:
    Source S11. Grand Parkway residual reserve.</x:t>
        </x:r>
      </x:text>
    </x:comment>
  </x:commentList>
</x:comments>
</file>

<file path=xl/comments4.xml><?xml version="1.0" encoding="utf-8"?>
<x:comments xmlns:x="http://schemas.openxmlformats.org/spreadsheetml/2006/main">
  <x:authors>
    <x:author>tc={FF1E3BD7-238B-F23C-A866-ACB2DC8A51F0}</x:author>
    <x:author>tc={2D39A739-92E4-F81D-9815-268EA027FAAB}</x:author>
    <x:author>tc={F5E15B4E-2A91-36C1-3798-6B97E1B588E2}</x:author>
    <x:author>tc={5F4F4FC7-716E-6228-CE69-8E91FB45FF26}</x:author>
    <x:author>tc={56AD7BE9-A344-2E39-5997-79C261ED7CAF}</x:author>
    <x:author>tc={D7554E84-113C-2D3C-1587-CB3F6E39F751}</x:author>
    <x:author>tc={CA33B263-459D-55D5-1ACC-4EC677B70F6A}</x:author>
    <x:author>tc={48B1CAC9-F6B0-0E18-35D0-B4C62FF9F8FC}</x:author>
    <x:author>tc={9E1C3437-9B80-DAEE-1DAF-9C3A5475FC8B}</x:author>
    <x:author>tc={CC4974CD-E64D-2BAB-0D47-AFD25AC8469D}</x:author>
    <x:author>tc={302C8388-5F5F-183A-F3DF-57EC6BF2F349}</x:author>
    <x:author>tc={E29EB0ED-6595-4256-0246-22BC09530DA9}</x:author>
    <x:author>tc={C35DE411-7516-CCF9-45D6-F17F040C4AE1}</x:author>
    <x:author>tc={9D9CC114-2381-A417-274A-6FBA79317B39}</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Source S03. Gross Trust revenue.</x:t>
        </x:r>
      </x:text>
    </x:comment>
    <x:comment ref="C6" authorId="1">
      <x:text>
        <x:r>
          <x:t>[Threaded comment]
Your version of Excel allows you to read this threaded comment; however, any edits to it will get removed if the file is opened in a newer version of Excel. Learn more: https://go.microsoft.com/fwlink/?linkid=870924
Comment:
    Source S03. Net O&amp;M.</x:t>
        </x:r>
      </x:text>
    </x:comment>
    <x:comment ref="E6" authorId="2">
      <x:text>
        <x:r>
          <x:t>[Threaded comment]
Your version of Excel allows you to read this threaded comment; however, any edits to it will get removed if the file is opened in a newer version of Excel. Learn more: https://go.microsoft.com/fwlink/?linkid=870924
Comment:
    Source S03. Net debt service.</x:t>
        </x:r>
      </x:text>
    </x:comment>
    <x:comment ref="G6" authorId="3">
      <x:text>
        <x:r>
          <x:t>[Threaded comment]
Your version of Excel allows you to read this threaded comment; however, any edits to it will get removed if the file is opened in a newer version of Excel. Learn more: https://go.microsoft.com/fwlink/?linkid=870924
Comment:
    Source S03. Residual formula amount.</x:t>
        </x:r>
      </x:text>
    </x:comment>
    <x:comment ref="B7" authorId="4">
      <x:text>
        <x:r>
          <x:t>[Threaded comment]
Your version of Excel allows you to read this threaded comment; however, any edits to it will get removed if the file is opened in a newer version of Excel. Learn more: https://go.microsoft.com/fwlink/?linkid=870924
Comment:
    Source S11. CTTS operating revenue.</x:t>
        </x:r>
      </x:text>
    </x:comment>
    <x:comment ref="C7" authorId="5">
      <x:text>
        <x:r>
          <x:t>[Threaded comment]
Your version of Excel allows you to read this threaded comment; however, any edits to it will get removed if the file is opened in a newer version of Excel. Learn more: https://go.microsoft.com/fwlink/?linkid=870924
Comment:
    Source S11. CTTS operating expense.</x:t>
        </x:r>
      </x:text>
    </x:comment>
    <x:comment ref="D7" authorId="6">
      <x:text>
        <x:r>
          <x:t>[Threaded comment]
Your version of Excel allows you to read this threaded comment; however, any edits to it will get removed if the file is opened in a newer version of Excel. Learn more: https://go.microsoft.com/fwlink/?linkid=870924
Comment:
    Source S11. CTTS repairs and maintenance.</x:t>
        </x:r>
      </x:text>
    </x:comment>
    <x:comment ref="E7" authorId="7">
      <x:text>
        <x:r>
          <x:t>[Threaded comment]
Your version of Excel allows you to read this threaded comment; however, any edits to it will get removed if the file is opened in a newer version of Excel. Learn more: https://go.microsoft.com/fwlink/?linkid=870924
Comment:
    Source S11. CTTS debt service.</x:t>
        </x:r>
      </x:text>
    </x:comment>
    <x:comment ref="G7" authorId="8">
      <x:text>
        <x:r>
          <x:t>[Threaded comment]
Your version of Excel allows you to read this threaded comment; however, any edits to it will get removed if the file is opened in a newer version of Excel. Learn more: https://go.microsoft.com/fwlink/?linkid=870924
Comment:
    Source S11. CTTS reserve residual.</x:t>
        </x:r>
      </x:text>
    </x:comment>
    <x:comment ref="B8" authorId="9">
      <x:text>
        <x:r>
          <x:t>[Threaded comment]
Your version of Excel allows you to read this threaded comment; however, any edits to it will get removed if the file is opened in a newer version of Excel. Learn more: https://go.microsoft.com/fwlink/?linkid=870924
Comment:
    Source S11. Grand Parkway operating revenue.</x:t>
        </x:r>
      </x:text>
    </x:comment>
    <x:comment ref="C8" authorId="10">
      <x:text>
        <x:r>
          <x:t>[Threaded comment]
Your version of Excel allows you to read this threaded comment; however, any edits to it will get removed if the file is opened in a newer version of Excel. Learn more: https://go.microsoft.com/fwlink/?linkid=870924
Comment:
    Source S11. Grand Parkway operating expense.</x:t>
        </x:r>
      </x:text>
    </x:comment>
    <x:comment ref="D8" authorId="11">
      <x:text>
        <x:r>
          <x:t>[Threaded comment]
Your version of Excel allows you to read this threaded comment; however, any edits to it will get removed if the file is opened in a newer version of Excel. Learn more: https://go.microsoft.com/fwlink/?linkid=870924
Comment:
    Source S11. Grand Parkway repairs and maintenance.</x:t>
        </x:r>
      </x:text>
    </x:comment>
    <x:comment ref="E8" authorId="12">
      <x:text>
        <x:r>
          <x:t>[Threaded comment]
Your version of Excel allows you to read this threaded comment; however, any edits to it will get removed if the file is opened in a newer version of Excel. Learn more: https://go.microsoft.com/fwlink/?linkid=870924
Comment:
    Source S11. Grand Parkway debt service.</x:t>
        </x:r>
      </x:text>
    </x:comment>
    <x:comment ref="G8" authorId="13">
      <x:text>
        <x:r>
          <x:t>[Threaded comment]
Your version of Excel allows you to read this threaded comment; however, any edits to it will get removed if the file is opened in a newer version of Excel. Learn more: https://go.microsoft.com/fwlink/?linkid=870924
Comment:
    Source S11. Grand Parkway reserve residual.</x:t>
        </x:r>
      </x:text>
    </x:comment>
  </x:commentList>
</x:comments>
</file>

<file path=xl/comments5.xml><?xml version="1.0" encoding="utf-8"?>
<x:comments xmlns:x="http://schemas.openxmlformats.org/spreadsheetml/2006/main">
  <x:authors>
    <x:author>tc={2F375EAB-3975-79BF-1515-626B50548E2F}</x:author>
    <x:author>tc={02473EC4-1C8F-BF98-A2C6-61792B769780}</x:author>
    <x:author>tc={AD50B0F3-D3E9-C11A-5F6B-C706365A4C18}</x:author>
    <x:author>tc={3BA287B4-FD37-5801-C9C6-C32416AE5693}</x:author>
    <x:author>tc={419A7EA8-5EC1-2B31-C7BF-4997CB07BFE1}</x:author>
    <x:author>tc={08AFADE3-89ED-2DF7-57C8-13C55D599F9C}</x:author>
  </x:authors>
  <x:commentList>
    <x:comment ref="D5" authorId="0">
      <x:text>
        <x:r>
          <x:t>[Threaded comment]
Your version of Excel allows you to read this threaded comment; however, any edits to it will get removed if the file is opened in a newer version of Excel. Learn more: https://go.microsoft.com/fwlink/?linkid=870924
Comment:
    Source S05. HCTRA toll revenue for FY2021; source units converted to $mm.</x:t>
        </x:r>
      </x:text>
    </x:comment>
    <x:comment ref="D6" authorId="1">
      <x:text>
        <x:r>
          <x:t>[Threaded comment]
Your version of Excel allows you to read this threaded comment; however, any edits to it will get removed if the file is opened in a newer version of Excel. Learn more: https://go.microsoft.com/fwlink/?linkid=870924
Comment:
    Source S05. HCTRA toll revenue for FY2022; source units converted to $mm.</x:t>
        </x:r>
      </x:text>
    </x:comment>
    <x:comment ref="D7" authorId="2">
      <x:text>
        <x:r>
          <x:t>[Threaded comment]
Your version of Excel allows you to read this threaded comment; however, any edits to it will get removed if the file is opened in a newer version of Excel. Learn more: https://go.microsoft.com/fwlink/?linkid=870924
Comment:
    Source S05. HCTRA toll revenue for Transition period; source units converted to $mm.</x:t>
        </x:r>
      </x:text>
    </x:comment>
    <x:comment ref="D8" authorId="3">
      <x:text>
        <x:r>
          <x:t>[Threaded comment]
Your version of Excel allows you to read this threaded comment; however, any edits to it will get removed if the file is opened in a newer version of Excel. Learn more: https://go.microsoft.com/fwlink/?linkid=870924
Comment:
    Source S05. HCTRA toll revenue for FY2023; source units converted to $mm.</x:t>
        </x:r>
      </x:text>
    </x:comment>
    <x:comment ref="D9" authorId="4">
      <x:text>
        <x:r>
          <x:t>[Threaded comment]
Your version of Excel allows you to read this threaded comment; however, any edits to it will get removed if the file is opened in a newer version of Excel. Learn more: https://go.microsoft.com/fwlink/?linkid=870924
Comment:
    Source S05. HCTRA toll revenue for FY2024; source units converted to $mm.</x:t>
        </x:r>
      </x:text>
    </x:comment>
    <x:comment ref="D10" authorId="5">
      <x:text>
        <x:r>
          <x:t>[Threaded comment]
Your version of Excel allows you to read this threaded comment; however, any edits to it will get removed if the file is opened in a newer version of Excel. Learn more: https://go.microsoft.com/fwlink/?linkid=870924
Comment:
    Source S05. HCTRA toll revenue for FY2025; source units converted to $mm.</x:t>
        </x:r>
      </x:text>
    </x:comment>
  </x:commentList>
</x:comments>
</file>

<file path=xl/comments6.xml><?xml version="1.0" encoding="utf-8"?>
<x:comments xmlns:x="http://schemas.openxmlformats.org/spreadsheetml/2006/main">
  <x:authors>
    <x:author>tc={2E3ED567-5E8F-603C-8038-069DF77EF6B2}</x:author>
    <x:author>tc={C10346FF-C915-5BDC-4035-E3E55ECE057D}</x:author>
    <x:author>tc={C19AAF3A-4CAF-01B4-52D0-9F08A8EE85A4}</x:author>
  </x:authors>
  <x:commentList>
    <x:comment ref="H12" authorId="0">
      <x:text>
        <x:r>
          <x:t>[Threaded comment]
Your version of Excel allows you to read this threaded comment; however, any edits to it will get removed if the file is opened in a newer version of Excel. Learn more: https://go.microsoft.com/fwlink/?linkid=870924
Comment:
    Source S17. Ferrovial reports a combined DFW revenue total of $935m; rounded project figures sum to the same.</x:t>
        </x:r>
      </x:text>
    </x:comment>
    <x:comment ref="I12" authorId="1">
      <x:text>
        <x:r>
          <x:t>[Threaded comment]
Your version of Excel allows you to read this threaded comment; however, any edits to it will get removed if the file is opened in a newer version of Excel. Learn more: https://go.microsoft.com/fwlink/?linkid=870924
Comment:
    Source S17. Ferrovial reports combined DFW EBITDA of $776m; displayed project figures sum to $774m because of rounding/aggregation.</x:t>
        </x:r>
      </x:text>
    </x:comment>
    <x:comment ref="J12" authorId="2">
      <x:text>
        <x:r>
          <x:t>[Threaded comment]
Your version of Excel allows you to read this threaded comment; however, any edits to it will get removed if the file is opened in a newer version of Excel. Learn more: https://go.microsoft.com/fwlink/?linkid=870924
Comment:
    Source S17. Ferrovial reports combined DFW dividends of $553m; displayed project figures sum to $554m because of rounding/aggregation.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
    <x:numFmt numFmtId="201" formatCode="yyyy-mm-dd"/>
    <x:numFmt numFmtId="202" formatCode="#,##0.0;[Red](#,##0.0);-"/>
    <x:numFmt numFmtId="203" formatCode="0.00x;[Red](0.00x);-"/>
    <x:numFmt numFmtId="204" formatCode="0.0"/>
    <x:numFmt numFmtId="205" formatCode="0.0%;[Red](0.0%);-"/>
    <x:numFmt numFmtId="206" formatCode="$#,##0.0;[Red]($#,##0.0);-"/>
    <x:numFmt numFmtId="207" formatCode="0.00"/>
  </x:numFmts>
  <x:fonts count="21">
    <x:font>
      <x:sz val="11"/>
      <x:name val="Carlito"/>
    </x:font>
    <x:font>
      <x:b/>
      <x:sz val="16"/>
      <x:color rgb="FFFFFFFF"/>
      <x:name val="Carlito"/>
    </x:font>
    <x:font>
      <x:i/>
      <x:sz val="10"/>
      <x:color rgb="FF17365D"/>
      <x:name val="Carlito"/>
    </x:font>
    <x:font>
      <x:b/>
      <x:sz val="10"/>
      <x:color rgb="FFFFFFFF"/>
      <x:name val="Carlito"/>
    </x:font>
    <x:font>
      <x:sz val="9"/>
      <x:color rgb="FF000000"/>
      <x:name val="Carlito"/>
    </x:font>
    <x:font>
      <x:b/>
      <x:sz val="9"/>
      <x:color rgb="FF000000"/>
      <x:name val="Carlito"/>
    </x:font>
    <x:font>
      <x:sz val="9"/>
      <x:color rgb="FF0000FF"/>
      <x:name val="Carlito"/>
    </x:font>
    <x:font>
      <x:i/>
      <x:sz val="9"/>
      <x:color rgb="FF17365D"/>
      <x:name val="Carlito"/>
    </x:font>
    <x:font>
      <x:sz val="9"/>
      <x:color rgb="FF008000"/>
      <x:name val="Carlito"/>
    </x:font>
    <x:font>
      <x:b/>
      <x:sz val="9"/>
      <x:color rgb="FF0000FF"/>
      <x:name val="Carlito"/>
    </x:font>
    <x:font>
      <x:sz val="10"/>
      <x:color rgb="FF000000"/>
      <x:name val="Carlito"/>
    </x:font>
    <x:font>
      <x:b/>
      <x:sz val="10"/>
      <x:color rgb="FF17365D"/>
      <x:name val="Carlito"/>
    </x:font>
    <x:font>
      <x:b/>
      <x:sz val="12"/>
      <x:color rgb="FF17365D"/>
      <x:name val="Carlito"/>
    </x:font>
    <x:font>
      <x:b/>
      <x:sz val="16"/>
      <x:color rgb="FF008000"/>
      <x:name val="Carlito"/>
    </x:font>
    <x:font>
      <x:b/>
      <x:sz val="16"/>
      <x:color rgb="FF0000FF"/>
      <x:name val="Carlito"/>
    </x:font>
    <x:font>
      <x:i/>
      <x:sz val="9"/>
      <x:color rgb="FF666666"/>
      <x:name val="Carlito"/>
    </x:font>
    <x:font>
      <x:sz val="10"/>
      <x:color rgb="FF17365D"/>
      <x:name val="Carlito"/>
    </x:font>
    <x:font>
      <x:b/>
      <x:sz val="11"/>
      <x:color rgb="FF000000"/>
      <x:name val="Carlito"/>
    </x:font>
    <x:font>
      <x:b/>
      <x:sz val="11"/>
      <x:color rgb="FFFFFFFF"/>
      <x:name val="Carlito"/>
    </x:font>
    <x:font>
      <x:i/>
      <x:sz val="11"/>
      <x:color rgb="FF334E68"/>
      <x:name val="Carlito"/>
    </x:font>
    <x:font>
      <x:b/>
      <x:sz val="11"/>
      <x:color rgb="FF102A43"/>
      <x:name val="Carlito"/>
    </x:font>
  </x:fonts>
  <x:fills count="14">
    <x:fill>
      <x:patternFill patternType="none"/>
    </x:fill>
    <x:fill>
      <x:patternFill patternType="gray125"/>
    </x:fill>
    <x:fill>
      <x:patternFill patternType="solid">
        <x:fgColor rgb="FF0B1F3A"/>
      </x:patternFill>
    </x:fill>
    <x:fill>
      <x:patternFill patternType="solid">
        <x:fgColor rgb="FFD9EAF7"/>
      </x:patternFill>
    </x:fill>
    <x:fill>
      <x:patternFill patternType="solid">
        <x:fgColor rgb="FF1F4E78"/>
      </x:patternFill>
    </x:fill>
    <x:fill>
      <x:patternFill patternType="solid">
        <x:fgColor rgb="FFF2F4F7"/>
      </x:patternFill>
    </x:fill>
    <x:fill>
      <x:patternFill patternType="solid">
        <x:fgColor rgb="FFFFF2CC"/>
      </x:patternFill>
    </x:fill>
    <x:fill>
      <x:patternFill patternType="solid">
        <x:fgColor rgb="FFD9E1F2"/>
      </x:patternFill>
    </x:fill>
    <x:fill>
      <x:patternFill patternType="solid">
        <x:fgColor rgb="FF17365D"/>
      </x:patternFill>
    </x:fill>
    <x:fill>
      <x:patternFill patternType="solid">
        <x:fgColor rgb="FF0F6B78"/>
      </x:patternFill>
    </x:fill>
    <x:fill>
      <x:patternFill patternType="solid">
        <x:fgColor rgb="FFE2F0D9"/>
      </x:patternFill>
    </x:fill>
    <x:fill>
      <x:patternFill patternType="solid">
        <x:fgColor rgb="FF102A43"/>
      </x:patternFill>
    </x:fill>
    <x:fill>
      <x:patternFill patternType="solid">
        <x:fgColor rgb="FFEAF2F8"/>
      </x:patternFill>
    </x:fill>
    <x:fill>
      <x:patternFill patternType="solid">
        <x:fgColor rgb="FFD9EAF7"/>
      </x:patternFill>
    </x:fill>
  </x:fills>
  <x:borders count="48">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5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200" fontId="4" fillId="5" borderId="0" xfId="0" applyNumberFormat="1" applyFont="1" applyFill="1" applyBorder="1" applyAlignment="1">
      <x:alignment vertical="top" wrapText="1"/>
    </x:xf>
    <x:xf numFmtId="201"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200" fontId="4" fillId="5" borderId="1" xfId="0" applyNumberFormat="1" applyFont="1" applyFill="1" applyBorder="1" applyAlignment="1">
      <x:alignment vertical="top" wrapText="1"/>
    </x:xf>
    <x:xf numFmtId="201" fontId="4" fillId="5" borderId="1" xfId="0" applyNumberFormat="1" applyFont="1" applyFill="1" applyBorder="1" applyAlignment="1">
      <x:alignment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3" fillId="4" borderId="6" xfId="0" applyNumberFormat="1" applyFont="1" applyFill="1" applyBorder="1" applyAlignment="1">
      <x:alignment horizontal="center" vertical="top" wrapText="1"/>
    </x:xf>
    <x:xf numFmtId="0" fontId="3" fillId="4" borderId="7"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202" fontId="4" fillId="0" borderId="0" xfId="0" applyNumberFormat="1" applyFont="1" applyFill="1" applyBorder="1" applyAlignment="1">
      <x:alignment vertical="top" wrapText="1"/>
    </x:xf>
    <x:xf numFmtId="202" fontId="4" fillId="0" borderId="1" xfId="0" applyNumberFormat="1" applyFont="1" applyFill="1" applyBorder="1" applyAlignment="1">
      <x:alignment vertical="top" wrapText="1"/>
    </x:xf>
    <x:xf numFmtId="203" fontId="4" fillId="0" borderId="0" xfId="0" applyNumberFormat="1" applyFont="1" applyFill="1" applyBorder="1" applyAlignment="1">
      <x:alignment vertical="top" wrapText="1"/>
    </x:xf>
    <x:xf numFmtId="203" fontId="4" fillId="0" borderId="1" xfId="0" applyNumberFormat="1" applyFont="1" applyFill="1" applyBorder="1" applyAlignment="1">
      <x:alignment vertical="top" wrapText="1"/>
    </x:xf>
    <x:xf numFmtId="202" fontId="6" fillId="0" borderId="0" xfId="0" applyNumberFormat="1" applyFont="1" applyFill="1" applyBorder="1" applyAlignment="1">
      <x:alignment vertical="top" wrapText="1"/>
    </x:xf>
    <x:xf numFmtId="202" fontId="6" fillId="0" borderId="1" xfId="0" applyNumberFormat="1" applyFont="1" applyFill="1" applyBorder="1" applyAlignment="1">
      <x:alignment vertical="top" wrapText="1"/>
    </x:xf>
    <x:xf numFmtId="203" fontId="6" fillId="0" borderId="0" xfId="0" applyNumberFormat="1" applyFont="1" applyFill="1" applyBorder="1" applyAlignment="1">
      <x:alignment vertical="top" wrapText="1"/>
    </x:xf>
    <x:xf numFmtId="203" fontId="6" fillId="0"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2" fontId="6"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202" fontId="6" fillId="5" borderId="1" xfId="0" applyNumberFormat="1" applyFont="1" applyFill="1" applyBorder="1" applyAlignment="1">
      <x:alignment vertical="top" wrapText="1"/>
    </x:xf>
    <x:xf numFmtId="202" fontId="4" fillId="5" borderId="0" xfId="0" applyNumberFormat="1" applyFont="1" applyFill="1" applyBorder="1" applyAlignment="1">
      <x:alignment vertical="top" wrapText="1"/>
    </x:xf>
    <x:xf numFmtId="202" fontId="4" fillId="5" borderId="1" xfId="0" applyNumberFormat="1" applyFont="1" applyFill="1" applyBorder="1" applyAlignment="1">
      <x:alignment vertical="top" wrapText="1"/>
    </x:xf>
    <x:xf numFmtId="203" fontId="6" fillId="5" borderId="0" xfId="0" applyNumberFormat="1" applyFont="1" applyFill="1" applyBorder="1" applyAlignment="1">
      <x:alignment vertical="top" wrapText="1"/>
    </x:xf>
    <x:xf numFmtId="203" fontId="4" fillId="5" borderId="0" xfId="0" applyNumberFormat="1" applyFont="1" applyFill="1" applyBorder="1" applyAlignment="1">
      <x:alignment vertical="top" wrapText="1"/>
    </x:xf>
    <x:xf numFmtId="203" fontId="6" fillId="5" borderId="1" xfId="0" applyNumberFormat="1" applyFont="1" applyFill="1" applyBorder="1" applyAlignment="1">
      <x:alignment vertical="top" wrapText="1"/>
    </x:xf>
    <x:xf numFmtId="203" fontId="4" fillId="5" borderId="1" xfId="0" applyNumberFormat="1" applyFont="1" applyFill="1" applyBorder="1" applyAlignment="1">
      <x:alignment vertical="top" wrapText="1"/>
    </x:xf>
    <x:xf numFmtId="0" fontId="5" fillId="6" borderId="0" xfId="0" applyNumberFormat="1" applyFont="1" applyFill="1" applyBorder="1" applyAlignment="1">
      <x:alignment vertical="top" wrapText="1"/>
    </x:xf>
    <x:xf numFmtId="202" fontId="4" fillId="6" borderId="0" xfId="0" applyNumberFormat="1" applyFont="1" applyFill="1" applyBorder="1" applyAlignment="1">
      <x:alignment vertical="top" wrapText="1"/>
    </x:xf>
    <x:xf numFmtId="202" fontId="6"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202" fontId="4" fillId="6" borderId="1" xfId="0" applyNumberFormat="1" applyFont="1" applyFill="1" applyBorder="1" applyAlignment="1">
      <x:alignment vertical="top" wrapText="1"/>
    </x:xf>
    <x:xf numFmtId="202" fontId="6" fillId="6"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202" fontId="8" fillId="0" borderId="0" xfId="0" applyNumberFormat="1" applyFont="1" applyFill="1" applyBorder="1" applyAlignment="1">
      <x:alignment vertical="top" wrapText="1"/>
    </x:xf>
    <x:xf numFmtId="202" fontId="8" fillId="0" borderId="1" xfId="0" applyNumberFormat="1" applyFont="1" applyFill="1" applyBorder="1" applyAlignment="1">
      <x:alignment vertical="top" wrapText="1"/>
    </x:xf>
    <x:xf numFmtId="202" fontId="8" fillId="5" borderId="0" xfId="0" applyNumberFormat="1" applyFont="1" applyFill="1" applyBorder="1" applyAlignment="1">
      <x:alignment vertical="top" wrapText="1"/>
    </x:xf>
    <x:xf numFmtId="202" fontId="8" fillId="5" borderId="1" xfId="0" applyNumberFormat="1" applyFont="1" applyFill="1" applyBorder="1" applyAlignment="1">
      <x:alignment vertical="top" wrapText="1"/>
    </x:xf>
    <x:xf numFmtId="0" fontId="5" fillId="7" borderId="0" xfId="0" applyNumberFormat="1" applyFont="1" applyFill="1" applyBorder="1" applyAlignment="1">
      <x:alignment vertical="top" wrapText="1"/>
    </x:xf>
    <x:xf numFmtId="202" fontId="4" fillId="7" borderId="0" xfId="0" applyNumberFormat="1" applyFont="1" applyFill="1" applyBorder="1" applyAlignment="1">
      <x:alignment vertical="top" wrapText="1"/>
    </x:xf>
    <x:xf numFmtId="202" fontId="8"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202" fontId="5" fillId="7" borderId="0" xfId="0" applyNumberFormat="1" applyFont="1" applyFill="1" applyBorder="1" applyAlignment="1">
      <x:alignment vertical="top" wrapText="1"/>
    </x:xf>
    <x:xf numFmtId="0" fontId="5" fillId="7" borderId="8" xfId="0" applyNumberFormat="1" applyFont="1" applyFill="1" applyBorder="1" applyAlignment="1">
      <x:alignment vertical="top" wrapText="1"/>
    </x:xf>
    <x:xf numFmtId="202" fontId="5" fillId="7" borderId="8" xfId="0" applyNumberFormat="1" applyFont="1" applyFill="1" applyBorder="1" applyAlignment="1">
      <x:alignment vertical="top" wrapText="1"/>
    </x:xf>
    <x:xf numFmtId="0" fontId="5" fillId="7" borderId="1" xfId="0" applyNumberFormat="1" applyFont="1" applyFill="1" applyBorder="1" applyAlignment="1">
      <x:alignment vertical="top" wrapText="1"/>
    </x:xf>
    <x:xf numFmtId="202" fontId="4" fillId="7" borderId="1" xfId="0" applyNumberFormat="1" applyFont="1" applyFill="1" applyBorder="1" applyAlignment="1">
      <x:alignment vertical="top" wrapText="1"/>
    </x:xf>
    <x:xf numFmtId="202" fontId="8" fillId="7" borderId="1" xfId="0" applyNumberFormat="1" applyFont="1" applyFill="1" applyBorder="1" applyAlignment="1">
      <x:alignment vertical="top" wrapText="1"/>
    </x:xf>
    <x:xf numFmtId="0" fontId="4" fillId="7" borderId="1" xfId="0" applyNumberFormat="1" applyFont="1" applyFill="1" applyBorder="1" applyAlignment="1">
      <x:alignment vertical="top" wrapText="1"/>
    </x:xf>
    <x:xf numFmtId="202" fontId="5" fillId="7" borderId="1" xfId="0" applyNumberFormat="1" applyFont="1" applyFill="1" applyBorder="1" applyAlignment="1">
      <x:alignment vertical="top" wrapText="1"/>
    </x:xf>
    <x:xf numFmtId="0" fontId="5" fillId="7" borderId="9" xfId="0" applyNumberFormat="1" applyFont="1" applyFill="1" applyBorder="1" applyAlignment="1">
      <x:alignment vertical="top" wrapText="1"/>
    </x:xf>
    <x:xf numFmtId="202" fontId="5" fillId="7" borderId="9" xfId="0" applyNumberFormat="1" applyFont="1" applyFill="1" applyBorder="1" applyAlignment="1">
      <x:alignment vertical="top" wrapText="1"/>
    </x:xf>
    <x:xf numFmtId="202" fontId="5" fillId="6" borderId="0" xfId="0" applyNumberFormat="1" applyFont="1" applyFill="1" applyBorder="1" applyAlignment="1">
      <x:alignment vertical="top" wrapText="1"/>
    </x:xf>
    <x:xf numFmtId="0" fontId="5" fillId="6" borderId="8" xfId="0" applyNumberFormat="1" applyFont="1" applyFill="1" applyBorder="1" applyAlignment="1">
      <x:alignment vertical="top" wrapText="1"/>
    </x:xf>
    <x:xf numFmtId="202" fontId="5" fillId="6" borderId="8" xfId="0" applyNumberFormat="1" applyFont="1" applyFill="1" applyBorder="1" applyAlignment="1">
      <x:alignment vertical="top" wrapText="1"/>
    </x:xf>
    <x:xf numFmtId="202" fontId="5" fillId="6" borderId="1" xfId="0" applyNumberFormat="1" applyFont="1" applyFill="1" applyBorder="1" applyAlignment="1">
      <x:alignment vertical="top" wrapText="1"/>
    </x:xf>
    <x:xf numFmtId="0" fontId="5" fillId="6" borderId="9" xfId="0" applyNumberFormat="1" applyFont="1" applyFill="1" applyBorder="1" applyAlignment="1">
      <x:alignment vertical="top" wrapText="1"/>
    </x:xf>
    <x:xf numFmtId="202" fontId="5" fillId="6" borderId="9" xfId="0" applyNumberFormat="1" applyFont="1" applyFill="1" applyBorder="1" applyAlignment="1">
      <x:alignment vertical="top" wrapText="1"/>
    </x:xf>
    <x:xf numFmtId="203" fontId="8" fillId="0" borderId="0" xfId="0" applyNumberFormat="1" applyFont="1" applyFill="1" applyBorder="1" applyAlignment="1">
      <x:alignment vertical="top" wrapText="1"/>
    </x:xf>
    <x:xf numFmtId="203" fontId="8" fillId="0" borderId="1" xfId="0" applyNumberFormat="1" applyFont="1" applyFill="1" applyBorder="1" applyAlignment="1">
      <x:alignment vertical="top" wrapText="1"/>
    </x:xf>
    <x:xf numFmtId="203" fontId="8" fillId="5" borderId="0" xfId="0" applyNumberFormat="1" applyFont="1" applyFill="1" applyBorder="1" applyAlignment="1">
      <x:alignment vertical="top" wrapText="1"/>
    </x:xf>
    <x:xf numFmtId="203" fontId="8" fillId="5" borderId="1"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left"/>
    </x:xf>
    <x:xf numFmtId="0" fontId="3" fillId="8" borderId="0" xfId="0" applyNumberFormat="1" applyFont="1" applyFill="1" applyBorder="1" applyAlignment="1">
      <x:alignment horizontal="left" vertic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left"/>
    </x:xf>
    <x:xf numFmtId="0" fontId="3" fillId="8" borderId="1" xfId="0" applyNumberFormat="1" applyFont="1" applyFill="1" applyBorder="1" applyAlignment="1">
      <x:alignment horizontal="left"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left"/>
    </x:xf>
    <x:xf numFmtId="0" fontId="3" fillId="9" borderId="0" xfId="0" applyNumberFormat="1" applyFont="1" applyFill="1" applyBorder="1" applyAlignment="1">
      <x:alignment horizontal="left" vertic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left"/>
    </x:xf>
    <x:xf numFmtId="0" fontId="3" fillId="9" borderId="1" xfId="0" applyNumberFormat="1" applyFont="1" applyFill="1" applyBorder="1" applyAlignment="1">
      <x:alignment horizontal="left" vertical="center"/>
    </x:xf>
    <x:xf numFmtId="0" fontId="3" fillId="9" borderId="2" xfId="0" applyNumberFormat="1" applyFont="1" applyFill="1" applyBorder="1"/>
    <x:xf numFmtId="0" fontId="3" fillId="9" borderId="3" xfId="0" applyNumberFormat="1" applyFont="1" applyFill="1" applyBorder="1"/>
    <x:xf numFmtId="0" fontId="3" fillId="9" borderId="4" xfId="0" applyNumberFormat="1" applyFont="1" applyFill="1" applyBorder="1"/>
    <x:xf numFmtId="0" fontId="3" fillId="9" borderId="2" xfId="0" applyNumberFormat="1" applyFont="1" applyFill="1" applyBorder="1" applyAlignment="1">
      <x:alignment wrapText="1"/>
    </x:xf>
    <x:xf numFmtId="0" fontId="3" fillId="9" borderId="3" xfId="0" applyNumberFormat="1" applyFont="1" applyFill="1" applyBorder="1" applyAlignment="1">
      <x:alignment wrapText="1"/>
    </x:xf>
    <x:xf numFmtId="0" fontId="3" fillId="9" borderId="4" xfId="0" applyNumberFormat="1" applyFont="1" applyFill="1" applyBorder="1" applyAlignment="1">
      <x:alignment wrapText="1"/>
    </x:xf>
    <x:xf numFmtId="0" fontId="3" fillId="9" borderId="2" xfId="0" applyNumberFormat="1" applyFont="1" applyFill="1" applyBorder="1" applyAlignment="1">
      <x:alignment horizontal="center" wrapText="1"/>
    </x:xf>
    <x:xf numFmtId="0" fontId="3" fillId="9" borderId="3" xfId="0" applyNumberFormat="1" applyFont="1" applyFill="1" applyBorder="1" applyAlignment="1">
      <x:alignment horizontal="center" wrapText="1"/>
    </x:xf>
    <x:xf numFmtId="0" fontId="3" fillId="9" borderId="4" xfId="0" applyNumberFormat="1" applyFont="1" applyFill="1" applyBorder="1" applyAlignment="1">
      <x:alignment horizontal="center" wrapText="1"/>
    </x:xf>
    <x:xf numFmtId="0" fontId="3" fillId="9" borderId="2" xfId="0" applyNumberFormat="1" applyFont="1" applyFill="1" applyBorder="1" applyAlignment="1">
      <x:alignment horizontal="center" vertical="center" wrapText="1"/>
    </x:xf>
    <x:xf numFmtId="0" fontId="3" fillId="9" borderId="3" xfId="0" applyNumberFormat="1" applyFont="1" applyFill="1" applyBorder="1" applyAlignment="1">
      <x:alignment horizontal="center" vertical="center" wrapText="1"/>
    </x:xf>
    <x:xf numFmtId="0" fontId="3" fillId="9" borderId="4" xfId="0" applyNumberFormat="1" applyFont="1" applyFill="1" applyBorder="1" applyAlignment="1">
      <x:alignment horizontal="center" vertical="center" wrapText="1"/>
    </x:xf>
    <x:xf numFmtId="0" fontId="3" fillId="9" borderId="5" xfId="0" applyNumberFormat="1" applyFont="1" applyFill="1" applyBorder="1"/>
    <x:xf numFmtId="0" fontId="3" fillId="9" borderId="6" xfId="0" applyNumberFormat="1" applyFont="1" applyFill="1" applyBorder="1"/>
    <x:xf numFmtId="0" fontId="3" fillId="9" borderId="7" xfId="0" applyNumberFormat="1" applyFont="1" applyFill="1" applyBorder="1"/>
    <x:xf numFmtId="0" fontId="3" fillId="9" borderId="5" xfId="0" applyNumberFormat="1" applyFont="1" applyFill="1" applyBorder="1" applyAlignment="1">
      <x:alignment wrapText="1"/>
    </x:xf>
    <x:xf numFmtId="0" fontId="3" fillId="9" borderId="6" xfId="0" applyNumberFormat="1" applyFont="1" applyFill="1" applyBorder="1" applyAlignment="1">
      <x:alignment wrapText="1"/>
    </x:xf>
    <x:xf numFmtId="0" fontId="3" fillId="9" borderId="7" xfId="0" applyNumberFormat="1" applyFont="1" applyFill="1" applyBorder="1" applyAlignment="1">
      <x:alignment wrapText="1"/>
    </x:xf>
    <x:xf numFmtId="0" fontId="3" fillId="9" borderId="5" xfId="0" applyNumberFormat="1" applyFont="1" applyFill="1" applyBorder="1" applyAlignment="1">
      <x:alignment horizontal="center" wrapText="1"/>
    </x:xf>
    <x:xf numFmtId="0" fontId="3" fillId="9" borderId="6" xfId="0" applyNumberFormat="1" applyFont="1" applyFill="1" applyBorder="1" applyAlignment="1">
      <x:alignment horizontal="center" wrapText="1"/>
    </x:xf>
    <x:xf numFmtId="0" fontId="3" fillId="9" borderId="7" xfId="0" applyNumberFormat="1" applyFont="1" applyFill="1" applyBorder="1" applyAlignment="1">
      <x:alignment horizontal="center" wrapText="1"/>
    </x:xf>
    <x:xf numFmtId="0" fontId="3" fillId="9" borderId="5" xfId="0" applyNumberFormat="1" applyFont="1" applyFill="1" applyBorder="1" applyAlignment="1">
      <x:alignment horizontal="center" vertical="center" wrapText="1"/>
    </x:xf>
    <x:xf numFmtId="0" fontId="3" fillId="9" borderId="6" xfId="0" applyNumberFormat="1" applyFont="1" applyFill="1" applyBorder="1" applyAlignment="1">
      <x:alignment horizontal="center" vertical="center" wrapText="1"/>
    </x:xf>
    <x:xf numFmtId="0" fontId="3" fillId="9" borderId="7" xfId="0" applyNumberFormat="1" applyFont="1" applyFill="1" applyBorder="1" applyAlignment="1">
      <x:alignment horizontal="center" vertical="center" wrapText="1"/>
    </x:xf>
    <x:xf numFmtId="204" fontId="4" fillId="0" borderId="0" xfId="0" applyNumberFormat="1" applyFont="1" applyFill="1" applyBorder="1" applyAlignment="1">
      <x:alignment vertical="top" wrapText="1"/>
    </x:xf>
    <x:xf numFmtId="204" fontId="4" fillId="0" borderId="1" xfId="0" applyNumberFormat="1" applyFont="1" applyFill="1" applyBorder="1" applyAlignment="1">
      <x:alignment vertical="top" wrapText="1"/>
    </x:xf>
    <x:xf numFmtId="0" fontId="8" fillId="0" borderId="0" xfId="0" applyNumberFormat="1" applyFont="1" applyFill="1" applyBorder="1" applyAlignment="1">
      <x:alignment vertical="top" wrapText="1"/>
    </x:xf>
    <x:xf numFmtId="204"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xf numFmtId="204" fontId="8" fillId="0" borderId="1" xfId="0" applyNumberFormat="1" applyFont="1" applyFill="1" applyBorder="1" applyAlignment="1">
      <x:alignment vertical="top" wrapText="1"/>
    </x:xf>
    <x:xf numFmtId="0" fontId="8" fillId="5" borderId="0" xfId="0" applyNumberFormat="1" applyFont="1" applyFill="1" applyBorder="1" applyAlignment="1">
      <x:alignment vertical="top" wrapText="1"/>
    </x:xf>
    <x:xf numFmtId="204" fontId="8" fillId="5" borderId="0" xfId="0" applyNumberFormat="1" applyFont="1" applyFill="1" applyBorder="1" applyAlignment="1">
      <x:alignment vertical="top" wrapText="1"/>
    </x:xf>
    <x:xf numFmtId="0" fontId="8" fillId="5" borderId="1" xfId="0" applyNumberFormat="1" applyFont="1" applyFill="1" applyBorder="1" applyAlignment="1">
      <x:alignment vertical="top" wrapText="1"/>
    </x:xf>
    <x:xf numFmtId="204" fontId="8" fillId="5" borderId="1" xfId="0" applyNumberFormat="1" applyFont="1" applyFill="1" applyBorder="1" applyAlignment="1">
      <x:alignment vertical="top" wrapText="1"/>
    </x:xf>
    <x:xf numFmtId="202" fontId="8" fillId="6" borderId="0" xfId="0" applyNumberFormat="1" applyFont="1" applyFill="1" applyBorder="1" applyAlignment="1">
      <x:alignment vertical="top" wrapText="1"/>
    </x:xf>
    <x:xf numFmtId="204" fontId="8" fillId="6" borderId="0" xfId="0" applyNumberFormat="1" applyFont="1" applyFill="1" applyBorder="1" applyAlignment="1">
      <x:alignment vertical="top" wrapText="1"/>
    </x:xf>
    <x:xf numFmtId="204" fontId="5" fillId="6" borderId="0" xfId="0" applyNumberFormat="1" applyFont="1" applyFill="1" applyBorder="1" applyAlignment="1">
      <x:alignment vertical="top" wrapText="1"/>
    </x:xf>
    <x:xf numFmtId="204" fontId="5" fillId="6" borderId="8" xfId="0" applyNumberFormat="1" applyFont="1" applyFill="1" applyBorder="1" applyAlignment="1">
      <x:alignment vertical="top" wrapText="1"/>
    </x:xf>
    <x:xf numFmtId="202" fontId="8" fillId="6" borderId="1" xfId="0" applyNumberFormat="1" applyFont="1" applyFill="1" applyBorder="1" applyAlignment="1">
      <x:alignment vertical="top" wrapText="1"/>
    </x:xf>
    <x:xf numFmtId="204" fontId="8" fillId="6" borderId="1" xfId="0" applyNumberFormat="1" applyFont="1" applyFill="1" applyBorder="1" applyAlignment="1">
      <x:alignment vertical="top" wrapText="1"/>
    </x:xf>
    <x:xf numFmtId="204" fontId="5" fillId="6" borderId="1" xfId="0" applyNumberFormat="1" applyFont="1" applyFill="1" applyBorder="1" applyAlignment="1">
      <x:alignment vertical="top" wrapText="1"/>
    </x:xf>
    <x:xf numFmtId="204" fontId="5" fillId="6" borderId="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5" fontId="4" fillId="0" borderId="0" xfId="0" applyNumberFormat="1" applyFont="1" applyFill="1" applyBorder="1" applyAlignment="1">
      <x:alignment vertical="top" wrapText="1"/>
    </x:xf>
    <x:xf numFmtId="205"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202" fontId="4" fillId="0" borderId="0"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horizontal="center" vertical="top" wrapText="1"/>
    </x:xf>
    <x:xf numFmtId="202" fontId="4" fillId="0" borderId="1"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2" fontId="6" fillId="0" borderId="0" xfId="0" applyNumberFormat="1" applyFont="1" applyFill="1" applyBorder="1" applyAlignment="1">
      <x:alignment horizontal="center" vertical="top" wrapText="1"/>
    </x:xf>
    <x:xf numFmtId="202" fontId="6" fillId="0" borderId="1"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top" wrapText="1"/>
    </x:xf>
    <x:xf numFmtId="202" fontId="6" fillId="6" borderId="0"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5" fontId="4" fillId="6" borderId="0" xfId="0" applyNumberFormat="1" applyFont="1" applyFill="1" applyBorder="1" applyAlignment="1">
      <x:alignment vertical="top" wrapText="1"/>
    </x:xf>
    <x:xf numFmtId="0" fontId="4" fillId="6" borderId="1" xfId="0" applyNumberFormat="1" applyFont="1" applyFill="1" applyBorder="1" applyAlignment="1">
      <x:alignment horizontal="center" vertical="top" wrapText="1"/>
    </x:xf>
    <x:xf numFmtId="202" fontId="6" fillId="6" borderId="1" xfId="0" applyNumberFormat="1" applyFont="1" applyFill="1" applyBorder="1" applyAlignment="1">
      <x:alignment horizontal="center" vertical="top" wrapText="1"/>
    </x:xf>
    <x:xf numFmtId="0" fontId="4" fillId="6" borderId="1"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5" fontId="4" fillId="6" borderId="1"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202" fontId="6" fillId="5" borderId="0"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5" fontId="4" fillId="5" borderId="0"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202" fontId="6" fillId="5" borderId="1"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5" fontId="4" fillId="5" borderId="1" xfId="0" applyNumberFormat="1" applyFont="1" applyFill="1" applyBorder="1" applyAlignment="1">
      <x:alignment vertical="top" wrapText="1"/>
    </x:xf>
    <x:xf numFmtId="204" fontId="4" fillId="6" borderId="0" xfId="0" applyNumberFormat="1" applyFont="1" applyFill="1" applyBorder="1" applyAlignment="1">
      <x:alignment vertical="top" wrapText="1"/>
    </x:xf>
    <x:xf numFmtId="204" fontId="4" fillId="6" borderId="1" xfId="0" applyNumberFormat="1" applyFont="1" applyFill="1" applyBorder="1" applyAlignment="1">
      <x:alignment vertical="top" wrapText="1"/>
    </x:xf>
    <x:xf numFmtId="202" fontId="9" fillId="7" borderId="8" xfId="0" applyNumberFormat="1" applyFont="1" applyFill="1" applyBorder="1" applyAlignment="1">
      <x:alignment vertical="top" wrapText="1"/>
    </x:xf>
    <x:xf numFmtId="202" fontId="9" fillId="7" borderId="9" xfId="0" applyNumberFormat="1" applyFont="1" applyFill="1" applyBorder="1" applyAlignment="1">
      <x:alignment vertical="top" wrapText="1"/>
    </x:xf>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10" fillId="5" borderId="0" xfId="0" applyNumberFormat="1" applyFont="1" applyFill="1" applyBorder="1"/>
    <x:xf numFmtId="0" fontId="10" fillId="5" borderId="1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0" fillId="5" borderId="14" xfId="0" applyNumberFormat="1" applyFont="1" applyFill="1" applyBorder="1"/>
    <x:xf numFmtId="0" fontId="10" fillId="5" borderId="15" xfId="0" applyNumberFormat="1" applyFont="1" applyFill="1" applyBorder="1"/>
    <x:xf numFmtId="0" fontId="10" fillId="5" borderId="10" xfId="0" applyNumberFormat="1" applyFont="1" applyFill="1" applyBorder="1" applyAlignment="1">
      <x:alignment wrapText="1"/>
    </x:xf>
    <x:xf numFmtId="0" fontId="10" fillId="5" borderId="11" xfId="0" applyNumberFormat="1" applyFont="1" applyFill="1" applyBorder="1" applyAlignment="1">
      <x:alignment wrapText="1"/>
    </x:xf>
    <x:xf numFmtId="0" fontId="10" fillId="5" borderId="12" xfId="0" applyNumberFormat="1" applyFont="1" applyFill="1" applyBorder="1" applyAlignment="1">
      <x:alignment wrapText="1"/>
    </x:xf>
    <x:xf numFmtId="0" fontId="10" fillId="5" borderId="13" xfId="0" applyNumberFormat="1" applyFont="1" applyFill="1" applyBorder="1" applyAlignment="1">
      <x:alignment wrapText="1"/>
    </x:xf>
    <x:xf numFmtId="0" fontId="10" fillId="5" borderId="14" xfId="0" applyNumberFormat="1" applyFont="1" applyFill="1" applyBorder="1" applyAlignment="1">
      <x:alignment wrapText="1"/>
    </x:xf>
    <x:xf numFmtId="0" fontId="10" fillId="5" borderId="15" xfId="0" applyNumberFormat="1" applyFont="1" applyFill="1" applyBorder="1" applyAlignment="1">
      <x:alignment wrapText="1"/>
    </x:xf>
    <x:xf numFmtId="0" fontId="10" fillId="5" borderId="10" xfId="0" applyNumberFormat="1" applyFont="1" applyFill="1" applyBorder="1" applyAlignment="1">
      <x:alignment vertical="top" wrapText="1"/>
    </x:xf>
    <x:xf numFmtId="0" fontId="10" fillId="5" borderId="11" xfId="0" applyNumberFormat="1" applyFont="1" applyFill="1" applyBorder="1" applyAlignment="1">
      <x:alignment vertical="top" wrapText="1"/>
    </x:xf>
    <x:xf numFmtId="0" fontId="10" fillId="5" borderId="12" xfId="0" applyNumberFormat="1" applyFont="1" applyFill="1" applyBorder="1" applyAlignment="1">
      <x:alignment vertical="top" wrapText="1"/>
    </x:xf>
    <x:xf numFmtId="0" fontId="10" fillId="5" borderId="13" xfId="0" applyNumberFormat="1" applyFont="1" applyFill="1" applyBorder="1" applyAlignment="1">
      <x:alignment vertical="top" wrapText="1"/>
    </x:xf>
    <x:xf numFmtId="0" fontId="10" fillId="5" borderId="14" xfId="0" applyNumberFormat="1" applyFont="1" applyFill="1" applyBorder="1" applyAlignment="1">
      <x:alignment vertical="top" wrapText="1"/>
    </x:xf>
    <x:xf numFmtId="0" fontId="10" fillId="5" borderId="15" xfId="0" applyNumberFormat="1" applyFont="1" applyFill="1" applyBorder="1" applyAlignment="1">
      <x:alignment vertical="top" wrapText="1"/>
    </x:xf>
    <x:xf numFmtId="0" fontId="0" fillId="5" borderId="1" xfId="0" applyNumberFormat="1" applyFont="1" applyFill="1" applyBorder="1"/>
    <x:xf numFmtId="0" fontId="10" fillId="5" borderId="1" xfId="0" applyNumberFormat="1" applyFont="1" applyFill="1" applyBorder="1"/>
    <x:xf numFmtId="0" fontId="10" fillId="5" borderId="16" xfId="0" applyNumberFormat="1" applyFont="1" applyFill="1" applyBorder="1"/>
    <x:xf numFmtId="0" fontId="10" fillId="5" borderId="17" xfId="0" applyNumberFormat="1" applyFont="1" applyFill="1" applyBorder="1"/>
    <x:xf numFmtId="0" fontId="10" fillId="5" borderId="18" xfId="0" applyNumberFormat="1" applyFont="1" applyFill="1" applyBorder="1"/>
    <x:xf numFmtId="0" fontId="10" fillId="5" borderId="19" xfId="0" applyNumberFormat="1" applyFont="1" applyFill="1" applyBorder="1"/>
    <x:xf numFmtId="0" fontId="10" fillId="5" borderId="20" xfId="0" applyNumberFormat="1" applyFont="1" applyFill="1" applyBorder="1"/>
    <x:xf numFmtId="0" fontId="10" fillId="5" borderId="21" xfId="0" applyNumberFormat="1" applyFont="1" applyFill="1" applyBorder="1"/>
    <x:xf numFmtId="0" fontId="10" fillId="5" borderId="16" xfId="0" applyNumberFormat="1" applyFont="1" applyFill="1" applyBorder="1" applyAlignment="1">
      <x:alignment wrapText="1"/>
    </x:xf>
    <x:xf numFmtId="0" fontId="10" fillId="5" borderId="17" xfId="0" applyNumberFormat="1" applyFont="1" applyFill="1" applyBorder="1" applyAlignment="1">
      <x:alignment wrapText="1"/>
    </x:xf>
    <x:xf numFmtId="0" fontId="10" fillId="5" borderId="18" xfId="0" applyNumberFormat="1" applyFont="1" applyFill="1" applyBorder="1" applyAlignment="1">
      <x:alignment wrapText="1"/>
    </x:xf>
    <x:xf numFmtId="0" fontId="10" fillId="5" borderId="19" xfId="0" applyNumberFormat="1" applyFont="1" applyFill="1" applyBorder="1" applyAlignment="1">
      <x:alignment wrapText="1"/>
    </x:xf>
    <x:xf numFmtId="0" fontId="10" fillId="5" borderId="20" xfId="0" applyNumberFormat="1" applyFont="1" applyFill="1" applyBorder="1" applyAlignment="1">
      <x:alignment wrapText="1"/>
    </x:xf>
    <x:xf numFmtId="0" fontId="10" fillId="5" borderId="21" xfId="0" applyNumberFormat="1" applyFont="1" applyFill="1" applyBorder="1" applyAlignment="1">
      <x:alignment wrapText="1"/>
    </x:xf>
    <x:xf numFmtId="0" fontId="10" fillId="5" borderId="16" xfId="0" applyNumberFormat="1" applyFont="1" applyFill="1" applyBorder="1" applyAlignment="1">
      <x:alignment vertical="top" wrapText="1"/>
    </x:xf>
    <x:xf numFmtId="0" fontId="10" fillId="5" borderId="17" xfId="0" applyNumberFormat="1" applyFont="1" applyFill="1" applyBorder="1" applyAlignment="1">
      <x:alignment vertical="top" wrapText="1"/>
    </x:xf>
    <x:xf numFmtId="0" fontId="10" fillId="5" borderId="18" xfId="0" applyNumberFormat="1" applyFont="1" applyFill="1" applyBorder="1" applyAlignment="1">
      <x:alignment vertical="top" wrapText="1"/>
    </x:xf>
    <x:xf numFmtId="0" fontId="10" fillId="5" borderId="19" xfId="0" applyNumberFormat="1" applyFont="1" applyFill="1" applyBorder="1" applyAlignment="1">
      <x:alignment vertical="top" wrapText="1"/>
    </x:xf>
    <x:xf numFmtId="0" fontId="10" fillId="5" borderId="20" xfId="0" applyNumberFormat="1" applyFont="1" applyFill="1" applyBorder="1" applyAlignment="1">
      <x:alignment vertical="top" wrapText="1"/>
    </x:xf>
    <x:xf numFmtId="0" fontId="10" fillId="5" borderId="2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11" fillId="6" borderId="0" xfId="0" applyNumberFormat="1" applyFont="1" applyFill="1" applyBorder="1"/>
    <x:xf numFmtId="0" fontId="11" fillId="6" borderId="22" xfId="0" applyNumberFormat="1" applyFont="1" applyFill="1" applyBorder="1"/>
    <x:xf numFmtId="0" fontId="11" fillId="6" borderId="8" xfId="0" applyNumberFormat="1" applyFont="1" applyFill="1" applyBorder="1"/>
    <x:xf numFmtId="0" fontId="11" fillId="6" borderId="23" xfId="0" applyNumberFormat="1" applyFont="1" applyFill="1" applyBorder="1"/>
    <x:xf numFmtId="0" fontId="11" fillId="6" borderId="24" xfId="0" applyNumberFormat="1" applyFont="1" applyFill="1" applyBorder="1"/>
    <x:xf numFmtId="0" fontId="11" fillId="6" borderId="25" xfId="0" applyNumberFormat="1" applyFont="1" applyFill="1" applyBorder="1"/>
    <x:xf numFmtId="0" fontId="11" fillId="6" borderId="26" xfId="0" applyNumberFormat="1" applyFont="1" applyFill="1" applyBorder="1"/>
    <x:xf numFmtId="0" fontId="11" fillId="6" borderId="22" xfId="0" applyNumberFormat="1" applyFont="1" applyFill="1" applyBorder="1" applyAlignment="1">
      <x:alignment wrapText="1"/>
    </x:xf>
    <x:xf numFmtId="0" fontId="11" fillId="6" borderId="8" xfId="0" applyNumberFormat="1" applyFont="1" applyFill="1" applyBorder="1" applyAlignment="1">
      <x:alignment wrapText="1"/>
    </x:xf>
    <x:xf numFmtId="0" fontId="11" fillId="6" borderId="23" xfId="0" applyNumberFormat="1" applyFont="1" applyFill="1" applyBorder="1" applyAlignment="1">
      <x:alignment wrapText="1"/>
    </x:xf>
    <x:xf numFmtId="0" fontId="11" fillId="6" borderId="24" xfId="0" applyNumberFormat="1" applyFont="1" applyFill="1" applyBorder="1" applyAlignment="1">
      <x:alignment wrapText="1"/>
    </x:xf>
    <x:xf numFmtId="0" fontId="11" fillId="6" borderId="25" xfId="0" applyNumberFormat="1" applyFont="1" applyFill="1" applyBorder="1" applyAlignment="1">
      <x:alignment wrapText="1"/>
    </x:xf>
    <x:xf numFmtId="0" fontId="11" fillId="6" borderId="26" xfId="0" applyNumberFormat="1" applyFont="1" applyFill="1" applyBorder="1" applyAlignment="1">
      <x:alignment wrapText="1"/>
    </x:xf>
    <x:xf numFmtId="0" fontId="11" fillId="6" borderId="22" xfId="0" applyNumberFormat="1" applyFont="1" applyFill="1" applyBorder="1" applyAlignment="1">
      <x:alignment horizontal="center" wrapText="1"/>
    </x:xf>
    <x:xf numFmtId="0" fontId="11" fillId="6" borderId="8" xfId="0" applyNumberFormat="1" applyFont="1" applyFill="1" applyBorder="1" applyAlignment="1">
      <x:alignment horizontal="center" wrapText="1"/>
    </x:xf>
    <x:xf numFmtId="0" fontId="11" fillId="6" borderId="23" xfId="0" applyNumberFormat="1" applyFont="1" applyFill="1" applyBorder="1" applyAlignment="1">
      <x:alignment horizontal="center" wrapText="1"/>
    </x:xf>
    <x:xf numFmtId="0" fontId="11" fillId="6" borderId="24" xfId="0" applyNumberFormat="1" applyFont="1" applyFill="1" applyBorder="1" applyAlignment="1">
      <x:alignment horizontal="center" wrapText="1"/>
    </x:xf>
    <x:xf numFmtId="0" fontId="11" fillId="6" borderId="25" xfId="0" applyNumberFormat="1" applyFont="1" applyFill="1" applyBorder="1" applyAlignment="1">
      <x:alignment horizontal="center" wrapText="1"/>
    </x:xf>
    <x:xf numFmtId="0" fontId="11" fillId="6" borderId="26" xfId="0" applyNumberFormat="1" applyFont="1" applyFill="1" applyBorder="1" applyAlignment="1">
      <x:alignment horizontal="center" wrapText="1"/>
    </x:xf>
    <x:xf numFmtId="0" fontId="11" fillId="6" borderId="22" xfId="0" applyNumberFormat="1" applyFont="1" applyFill="1" applyBorder="1" applyAlignment="1">
      <x:alignment horizontal="center" vertical="center" wrapText="1"/>
    </x:xf>
    <x:xf numFmtId="0" fontId="11" fillId="6" borderId="8" xfId="0" applyNumberFormat="1" applyFont="1" applyFill="1" applyBorder="1" applyAlignment="1">
      <x:alignment horizontal="center" vertical="center" wrapText="1"/>
    </x:xf>
    <x:xf numFmtId="0" fontId="11" fillId="6" borderId="23" xfId="0" applyNumberFormat="1" applyFont="1" applyFill="1" applyBorder="1" applyAlignment="1">
      <x:alignment horizontal="center" vertical="center" wrapText="1"/>
    </x:xf>
    <x:xf numFmtId="0" fontId="11" fillId="6" borderId="24" xfId="0" applyNumberFormat="1" applyFont="1" applyFill="1" applyBorder="1" applyAlignment="1">
      <x:alignment horizontal="center" vertical="center" wrapText="1"/>
    </x:xf>
    <x:xf numFmtId="0" fontId="11" fillId="6" borderId="25" xfId="0" applyNumberFormat="1" applyFont="1" applyFill="1" applyBorder="1" applyAlignment="1">
      <x:alignment horizontal="center" vertical="center" wrapText="1"/>
    </x:xf>
    <x:xf numFmtId="0" fontId="11" fillId="6" borderId="26" xfId="0" applyNumberFormat="1" applyFont="1" applyFill="1" applyBorder="1" applyAlignment="1">
      <x:alignment horizontal="center" vertical="center" wrapText="1"/>
    </x:xf>
    <x:xf numFmtId="0" fontId="11" fillId="6" borderId="1" xfId="0" applyNumberFormat="1" applyFont="1" applyFill="1" applyBorder="1"/>
    <x:xf numFmtId="0" fontId="11" fillId="6" borderId="27" xfId="0" applyNumberFormat="1" applyFont="1" applyFill="1" applyBorder="1"/>
    <x:xf numFmtId="0" fontId="11" fillId="6" borderId="9" xfId="0" applyNumberFormat="1" applyFont="1" applyFill="1" applyBorder="1"/>
    <x:xf numFmtId="0" fontId="11" fillId="6" borderId="28" xfId="0" applyNumberFormat="1" applyFont="1" applyFill="1" applyBorder="1"/>
    <x:xf numFmtId="0" fontId="11" fillId="6" borderId="29" xfId="0" applyNumberFormat="1" applyFont="1" applyFill="1" applyBorder="1"/>
    <x:xf numFmtId="0" fontId="11" fillId="6" borderId="30" xfId="0" applyNumberFormat="1" applyFont="1" applyFill="1" applyBorder="1"/>
    <x:xf numFmtId="0" fontId="11" fillId="6" borderId="31" xfId="0" applyNumberFormat="1" applyFont="1" applyFill="1" applyBorder="1"/>
    <x:xf numFmtId="0" fontId="11" fillId="6" borderId="27" xfId="0" applyNumberFormat="1" applyFont="1" applyFill="1" applyBorder="1" applyAlignment="1">
      <x:alignment wrapText="1"/>
    </x:xf>
    <x:xf numFmtId="0" fontId="11" fillId="6" borderId="9" xfId="0" applyNumberFormat="1" applyFont="1" applyFill="1" applyBorder="1" applyAlignment="1">
      <x:alignment wrapText="1"/>
    </x:xf>
    <x:xf numFmtId="0" fontId="11" fillId="6" borderId="28" xfId="0" applyNumberFormat="1" applyFont="1" applyFill="1" applyBorder="1" applyAlignment="1">
      <x:alignment wrapText="1"/>
    </x:xf>
    <x:xf numFmtId="0" fontId="11" fillId="6" borderId="29" xfId="0" applyNumberFormat="1" applyFont="1" applyFill="1" applyBorder="1" applyAlignment="1">
      <x:alignment wrapText="1"/>
    </x:xf>
    <x:xf numFmtId="0" fontId="11" fillId="6" borderId="30" xfId="0" applyNumberFormat="1" applyFont="1" applyFill="1" applyBorder="1" applyAlignment="1">
      <x:alignment wrapText="1"/>
    </x:xf>
    <x:xf numFmtId="0" fontId="11" fillId="6" borderId="31" xfId="0" applyNumberFormat="1" applyFont="1" applyFill="1" applyBorder="1" applyAlignment="1">
      <x:alignment wrapText="1"/>
    </x:xf>
    <x:xf numFmtId="0" fontId="11" fillId="6" borderId="27" xfId="0" applyNumberFormat="1" applyFont="1" applyFill="1" applyBorder="1" applyAlignment="1">
      <x:alignment horizontal="center" wrapText="1"/>
    </x:xf>
    <x:xf numFmtId="0" fontId="11" fillId="6" borderId="9" xfId="0" applyNumberFormat="1" applyFont="1" applyFill="1" applyBorder="1" applyAlignment="1">
      <x:alignment horizontal="center" wrapText="1"/>
    </x:xf>
    <x:xf numFmtId="0" fontId="11" fillId="6" borderId="28" xfId="0" applyNumberFormat="1" applyFont="1" applyFill="1" applyBorder="1" applyAlignment="1">
      <x:alignment horizontal="center" wrapText="1"/>
    </x:xf>
    <x:xf numFmtId="0" fontId="11" fillId="6" borderId="29" xfId="0" applyNumberFormat="1" applyFont="1" applyFill="1" applyBorder="1" applyAlignment="1">
      <x:alignment horizontal="center" wrapText="1"/>
    </x:xf>
    <x:xf numFmtId="0" fontId="11" fillId="6" borderId="30" xfId="0" applyNumberFormat="1" applyFont="1" applyFill="1" applyBorder="1" applyAlignment="1">
      <x:alignment horizontal="center" wrapText="1"/>
    </x:xf>
    <x:xf numFmtId="0" fontId="11" fillId="6" borderId="31" xfId="0" applyNumberFormat="1" applyFont="1" applyFill="1" applyBorder="1" applyAlignment="1">
      <x:alignment horizontal="center" wrapText="1"/>
    </x:xf>
    <x:xf numFmtId="0" fontId="11" fillId="6" borderId="27" xfId="0" applyNumberFormat="1" applyFont="1" applyFill="1" applyBorder="1" applyAlignment="1">
      <x:alignment horizontal="center" vertical="center" wrapText="1"/>
    </x:xf>
    <x:xf numFmtId="0" fontId="11" fillId="6" borderId="9" xfId="0" applyNumberFormat="1" applyFont="1" applyFill="1" applyBorder="1" applyAlignment="1">
      <x:alignment horizontal="center" vertical="center" wrapText="1"/>
    </x:xf>
    <x:xf numFmtId="0" fontId="11" fillId="6" borderId="28" xfId="0" applyNumberFormat="1" applyFont="1" applyFill="1" applyBorder="1" applyAlignment="1">
      <x:alignment horizontal="center" vertical="center" wrapText="1"/>
    </x:xf>
    <x:xf numFmtId="0" fontId="11" fillId="6" borderId="29" xfId="0" applyNumberFormat="1" applyFont="1" applyFill="1" applyBorder="1" applyAlignment="1">
      <x:alignment horizontal="center" vertical="center" wrapText="1"/>
    </x:xf>
    <x:xf numFmtId="0" fontId="11" fillId="6" borderId="30" xfId="0" applyNumberFormat="1" applyFont="1" applyFill="1" applyBorder="1" applyAlignment="1">
      <x:alignment horizontal="center" vertical="center" wrapText="1"/>
    </x:xf>
    <x:xf numFmtId="0" fontId="11" fillId="6" borderId="31" xfId="0" applyNumberFormat="1" applyFont="1" applyFill="1" applyBorder="1" applyAlignment="1">
      <x:alignment horizontal="center" vertical="center" wrapText="1"/>
    </x:xf>
    <x:xf numFmtId="0" fontId="0" fillId="10" borderId="0" xfId="0" applyNumberFormat="1" applyFont="1" applyFill="1" applyBorder="1"/>
    <x:xf numFmtId="0" fontId="12" fillId="10" borderId="0" xfId="0" applyNumberFormat="1" applyFont="1" applyFill="1" applyBorder="1"/>
    <x:xf numFmtId="0" fontId="12" fillId="10" borderId="32" xfId="0" applyNumberFormat="1" applyFont="1" applyFill="1" applyBorder="1"/>
    <x:xf numFmtId="0" fontId="12" fillId="10" borderId="33" xfId="0" applyNumberFormat="1" applyFont="1" applyFill="1" applyBorder="1"/>
    <x:xf numFmtId="0" fontId="12" fillId="10" borderId="34" xfId="0" applyNumberFormat="1" applyFont="1" applyFill="1" applyBorder="1"/>
    <x:xf numFmtId="0" fontId="12" fillId="10" borderId="35" xfId="0" applyNumberFormat="1" applyFont="1" applyFill="1" applyBorder="1"/>
    <x:xf numFmtId="0" fontId="12" fillId="10" borderId="36" xfId="0" applyNumberFormat="1" applyFont="1" applyFill="1" applyBorder="1"/>
    <x:xf numFmtId="0" fontId="12" fillId="10" borderId="37" xfId="0" applyNumberFormat="1" applyFont="1" applyFill="1" applyBorder="1"/>
    <x:xf numFmtId="0" fontId="12" fillId="10" borderId="38" xfId="0" applyNumberFormat="1" applyFont="1" applyFill="1" applyBorder="1"/>
    <x:xf numFmtId="0" fontId="12" fillId="10" borderId="39" xfId="0" applyNumberFormat="1" applyFont="1" applyFill="1" applyBorder="1"/>
    <x:xf numFmtId="0" fontId="12" fillId="10" borderId="32" xfId="0" applyNumberFormat="1" applyFont="1" applyFill="1" applyBorder="1" applyAlignment="1">
      <x:alignment wrapText="1"/>
    </x:xf>
    <x:xf numFmtId="0" fontId="12" fillId="10" borderId="33" xfId="0" applyNumberFormat="1" applyFont="1" applyFill="1" applyBorder="1" applyAlignment="1">
      <x:alignment wrapText="1"/>
    </x:xf>
    <x:xf numFmtId="0" fontId="12" fillId="10" borderId="34" xfId="0" applyNumberFormat="1" applyFont="1" applyFill="1" applyBorder="1" applyAlignment="1">
      <x:alignment wrapText="1"/>
    </x:xf>
    <x:xf numFmtId="0" fontId="12" fillId="10" borderId="35" xfId="0" applyNumberFormat="1" applyFont="1" applyFill="1" applyBorder="1" applyAlignment="1">
      <x:alignment wrapText="1"/>
    </x:xf>
    <x:xf numFmtId="0" fontId="12" fillId="10" borderId="0" xfId="0" applyNumberFormat="1" applyFont="1" applyFill="1" applyBorder="1" applyAlignment="1">
      <x:alignment wrapText="1"/>
    </x:xf>
    <x:xf numFmtId="0" fontId="12" fillId="10" borderId="36" xfId="0" applyNumberFormat="1" applyFont="1" applyFill="1" applyBorder="1" applyAlignment="1">
      <x:alignment wrapText="1"/>
    </x:xf>
    <x:xf numFmtId="0" fontId="12" fillId="10" borderId="37" xfId="0" applyNumberFormat="1" applyFont="1" applyFill="1" applyBorder="1" applyAlignment="1">
      <x:alignment wrapText="1"/>
    </x:xf>
    <x:xf numFmtId="0" fontId="12" fillId="10" borderId="38" xfId="0" applyNumberFormat="1" applyFont="1" applyFill="1" applyBorder="1" applyAlignment="1">
      <x:alignment wrapText="1"/>
    </x:xf>
    <x:xf numFmtId="0" fontId="12" fillId="10" borderId="39" xfId="0" applyNumberFormat="1" applyFont="1" applyFill="1" applyBorder="1" applyAlignment="1">
      <x:alignment wrapText="1"/>
    </x:xf>
    <x:xf numFmtId="0" fontId="12" fillId="10" borderId="32" xfId="0" applyNumberFormat="1" applyFont="1" applyFill="1" applyBorder="1" applyAlignment="1">
      <x:alignment horizontal="center" wrapText="1"/>
    </x:xf>
    <x:xf numFmtId="0" fontId="12" fillId="10" borderId="33" xfId="0" applyNumberFormat="1" applyFont="1" applyFill="1" applyBorder="1" applyAlignment="1">
      <x:alignment horizontal="center" wrapText="1"/>
    </x:xf>
    <x:xf numFmtId="0" fontId="12" fillId="10" borderId="34" xfId="0" applyNumberFormat="1" applyFont="1" applyFill="1" applyBorder="1" applyAlignment="1">
      <x:alignment horizontal="center" wrapText="1"/>
    </x:xf>
    <x:xf numFmtId="0" fontId="12" fillId="10" borderId="35" xfId="0" applyNumberFormat="1" applyFont="1" applyFill="1" applyBorder="1" applyAlignment="1">
      <x:alignment horizontal="center" wrapText="1"/>
    </x:xf>
    <x:xf numFmtId="0" fontId="12" fillId="10" borderId="0" xfId="0" applyNumberFormat="1" applyFont="1" applyFill="1" applyBorder="1" applyAlignment="1">
      <x:alignment horizontal="center" wrapText="1"/>
    </x:xf>
    <x:xf numFmtId="0" fontId="12" fillId="10" borderId="36" xfId="0" applyNumberFormat="1" applyFont="1" applyFill="1" applyBorder="1" applyAlignment="1">
      <x:alignment horizontal="center" wrapText="1"/>
    </x:xf>
    <x:xf numFmtId="0" fontId="12" fillId="10" borderId="37" xfId="0" applyNumberFormat="1" applyFont="1" applyFill="1" applyBorder="1" applyAlignment="1">
      <x:alignment horizontal="center" wrapText="1"/>
    </x:xf>
    <x:xf numFmtId="0" fontId="12" fillId="10" borderId="38" xfId="0" applyNumberFormat="1" applyFont="1" applyFill="1" applyBorder="1" applyAlignment="1">
      <x:alignment horizontal="center" wrapText="1"/>
    </x:xf>
    <x:xf numFmtId="0" fontId="12" fillId="10" borderId="39" xfId="0" applyNumberFormat="1" applyFont="1" applyFill="1" applyBorder="1" applyAlignment="1">
      <x:alignment horizontal="center" wrapText="1"/>
    </x:xf>
    <x:xf numFmtId="0" fontId="12" fillId="10" borderId="32" xfId="0" applyNumberFormat="1" applyFont="1" applyFill="1" applyBorder="1" applyAlignment="1">
      <x:alignment horizontal="center" vertical="center" wrapText="1"/>
    </x:xf>
    <x:xf numFmtId="0" fontId="12" fillId="10" borderId="33" xfId="0" applyNumberFormat="1" applyFont="1" applyFill="1" applyBorder="1" applyAlignment="1">
      <x:alignment horizontal="center" vertical="center" wrapText="1"/>
    </x:xf>
    <x:xf numFmtId="0" fontId="12" fillId="10" borderId="34" xfId="0" applyNumberFormat="1" applyFont="1" applyFill="1" applyBorder="1" applyAlignment="1">
      <x:alignment horizontal="center" vertical="center" wrapText="1"/>
    </x:xf>
    <x:xf numFmtId="0" fontId="12" fillId="10" borderId="35" xfId="0" applyNumberFormat="1" applyFont="1" applyFill="1" applyBorder="1" applyAlignment="1">
      <x:alignment horizontal="center" vertical="center" wrapText="1"/>
    </x:xf>
    <x:xf numFmtId="0" fontId="12" fillId="10" borderId="0" xfId="0" applyNumberFormat="1" applyFont="1" applyFill="1" applyBorder="1" applyAlignment="1">
      <x:alignment horizontal="center" vertical="center" wrapText="1"/>
    </x:xf>
    <x:xf numFmtId="0" fontId="12" fillId="10" borderId="36" xfId="0" applyNumberFormat="1" applyFont="1" applyFill="1" applyBorder="1" applyAlignment="1">
      <x:alignment horizontal="center" vertical="center" wrapText="1"/>
    </x:xf>
    <x:xf numFmtId="0" fontId="12" fillId="10" borderId="37" xfId="0" applyNumberFormat="1" applyFont="1" applyFill="1" applyBorder="1" applyAlignment="1">
      <x:alignment horizontal="center" vertical="center" wrapText="1"/>
    </x:xf>
    <x:xf numFmtId="0" fontId="12" fillId="10" borderId="38" xfId="0" applyNumberFormat="1" applyFont="1" applyFill="1" applyBorder="1" applyAlignment="1">
      <x:alignment horizontal="center" vertical="center" wrapText="1"/>
    </x:xf>
    <x:xf numFmtId="0" fontId="12" fillId="10" borderId="39" xfId="0" applyNumberFormat="1" applyFont="1" applyFill="1" applyBorder="1" applyAlignment="1">
      <x:alignment horizontal="center" vertical="center" wrapText="1"/>
    </x:xf>
    <x:xf numFmtId="0" fontId="0" fillId="10" borderId="1" xfId="0" applyNumberFormat="1" applyFont="1" applyFill="1" applyBorder="1"/>
    <x:xf numFmtId="0" fontId="12" fillId="10" borderId="1" xfId="0" applyNumberFormat="1" applyFont="1" applyFill="1" applyBorder="1"/>
    <x:xf numFmtId="0" fontId="12" fillId="10" borderId="40" xfId="0" applyNumberFormat="1" applyFont="1" applyFill="1" applyBorder="1"/>
    <x:xf numFmtId="0" fontId="12" fillId="10" borderId="41" xfId="0" applyNumberFormat="1" applyFont="1" applyFill="1" applyBorder="1"/>
    <x:xf numFmtId="0" fontId="12" fillId="10" borderId="42" xfId="0" applyNumberFormat="1" applyFont="1" applyFill="1" applyBorder="1"/>
    <x:xf numFmtId="0" fontId="12" fillId="10" borderId="43" xfId="0" applyNumberFormat="1" applyFont="1" applyFill="1" applyBorder="1"/>
    <x:xf numFmtId="0" fontId="12" fillId="10" borderId="44" xfId="0" applyNumberFormat="1" applyFont="1" applyFill="1" applyBorder="1"/>
    <x:xf numFmtId="0" fontId="12" fillId="10" borderId="45" xfId="0" applyNumberFormat="1" applyFont="1" applyFill="1" applyBorder="1"/>
    <x:xf numFmtId="0" fontId="12" fillId="10" borderId="46" xfId="0" applyNumberFormat="1" applyFont="1" applyFill="1" applyBorder="1"/>
    <x:xf numFmtId="0" fontId="12" fillId="10" borderId="47" xfId="0" applyNumberFormat="1" applyFont="1" applyFill="1" applyBorder="1"/>
    <x:xf numFmtId="0" fontId="12" fillId="10" borderId="40" xfId="0" applyNumberFormat="1" applyFont="1" applyFill="1" applyBorder="1" applyAlignment="1">
      <x:alignment wrapText="1"/>
    </x:xf>
    <x:xf numFmtId="0" fontId="12" fillId="10" borderId="41" xfId="0" applyNumberFormat="1" applyFont="1" applyFill="1" applyBorder="1" applyAlignment="1">
      <x:alignment wrapText="1"/>
    </x:xf>
    <x:xf numFmtId="0" fontId="12" fillId="10" borderId="42" xfId="0" applyNumberFormat="1" applyFont="1" applyFill="1" applyBorder="1" applyAlignment="1">
      <x:alignment wrapText="1"/>
    </x:xf>
    <x:xf numFmtId="0" fontId="12" fillId="10" borderId="43" xfId="0" applyNumberFormat="1" applyFont="1" applyFill="1" applyBorder="1" applyAlignment="1">
      <x:alignment wrapText="1"/>
    </x:xf>
    <x:xf numFmtId="0" fontId="12" fillId="10" borderId="1" xfId="0" applyNumberFormat="1" applyFont="1" applyFill="1" applyBorder="1" applyAlignment="1">
      <x:alignment wrapText="1"/>
    </x:xf>
    <x:xf numFmtId="0" fontId="12" fillId="10" borderId="44" xfId="0" applyNumberFormat="1" applyFont="1" applyFill="1" applyBorder="1" applyAlignment="1">
      <x:alignment wrapText="1"/>
    </x:xf>
    <x:xf numFmtId="0" fontId="12" fillId="10" borderId="45" xfId="0" applyNumberFormat="1" applyFont="1" applyFill="1" applyBorder="1" applyAlignment="1">
      <x:alignment wrapText="1"/>
    </x:xf>
    <x:xf numFmtId="0" fontId="12" fillId="10" borderId="46" xfId="0" applyNumberFormat="1" applyFont="1" applyFill="1" applyBorder="1" applyAlignment="1">
      <x:alignment wrapText="1"/>
    </x:xf>
    <x:xf numFmtId="0" fontId="12" fillId="10" borderId="47" xfId="0" applyNumberFormat="1" applyFont="1" applyFill="1" applyBorder="1" applyAlignment="1">
      <x:alignment wrapText="1"/>
    </x:xf>
    <x:xf numFmtId="0" fontId="12" fillId="10" borderId="40" xfId="0" applyNumberFormat="1" applyFont="1" applyFill="1" applyBorder="1" applyAlignment="1">
      <x:alignment horizontal="center" wrapText="1"/>
    </x:xf>
    <x:xf numFmtId="0" fontId="12" fillId="10" borderId="41" xfId="0" applyNumberFormat="1" applyFont="1" applyFill="1" applyBorder="1" applyAlignment="1">
      <x:alignment horizontal="center" wrapText="1"/>
    </x:xf>
    <x:xf numFmtId="0" fontId="12" fillId="10" borderId="42" xfId="0" applyNumberFormat="1" applyFont="1" applyFill="1" applyBorder="1" applyAlignment="1">
      <x:alignment horizontal="center" wrapText="1"/>
    </x:xf>
    <x:xf numFmtId="0" fontId="12" fillId="10" borderId="43" xfId="0" applyNumberFormat="1" applyFont="1" applyFill="1" applyBorder="1" applyAlignment="1">
      <x:alignment horizontal="center" wrapText="1"/>
    </x:xf>
    <x:xf numFmtId="0" fontId="12" fillId="10" borderId="1" xfId="0" applyNumberFormat="1" applyFont="1" applyFill="1" applyBorder="1" applyAlignment="1">
      <x:alignment horizontal="center" wrapText="1"/>
    </x:xf>
    <x:xf numFmtId="0" fontId="12" fillId="10" borderId="44" xfId="0" applyNumberFormat="1" applyFont="1" applyFill="1" applyBorder="1" applyAlignment="1">
      <x:alignment horizontal="center" wrapText="1"/>
    </x:xf>
    <x:xf numFmtId="0" fontId="12" fillId="10" borderId="45" xfId="0" applyNumberFormat="1" applyFont="1" applyFill="1" applyBorder="1" applyAlignment="1">
      <x:alignment horizontal="center" wrapText="1"/>
    </x:xf>
    <x:xf numFmtId="0" fontId="12" fillId="10" borderId="46" xfId="0" applyNumberFormat="1" applyFont="1" applyFill="1" applyBorder="1" applyAlignment="1">
      <x:alignment horizontal="center" wrapText="1"/>
    </x:xf>
    <x:xf numFmtId="0" fontId="12" fillId="10" borderId="47" xfId="0" applyNumberFormat="1" applyFont="1" applyFill="1" applyBorder="1" applyAlignment="1">
      <x:alignment horizontal="center" wrapText="1"/>
    </x:xf>
    <x:xf numFmtId="0" fontId="12" fillId="10" borderId="40" xfId="0" applyNumberFormat="1" applyFont="1" applyFill="1" applyBorder="1" applyAlignment="1">
      <x:alignment horizontal="center" vertical="center" wrapText="1"/>
    </x:xf>
    <x:xf numFmtId="0" fontId="12" fillId="10" borderId="41" xfId="0" applyNumberFormat="1" applyFont="1" applyFill="1" applyBorder="1" applyAlignment="1">
      <x:alignment horizontal="center" vertical="center" wrapText="1"/>
    </x:xf>
    <x:xf numFmtId="0" fontId="12" fillId="10" borderId="42" xfId="0" applyNumberFormat="1" applyFont="1" applyFill="1" applyBorder="1" applyAlignment="1">
      <x:alignment horizontal="center" vertical="center" wrapText="1"/>
    </x:xf>
    <x:xf numFmtId="0" fontId="12" fillId="10" borderId="43" xfId="0" applyNumberFormat="1" applyFont="1" applyFill="1" applyBorder="1" applyAlignment="1">
      <x:alignment horizontal="center" vertical="center" wrapText="1"/>
    </x:xf>
    <x:xf numFmtId="0" fontId="12" fillId="10" borderId="1" xfId="0" applyNumberFormat="1" applyFont="1" applyFill="1" applyBorder="1" applyAlignment="1">
      <x:alignment horizontal="center" vertical="center" wrapText="1"/>
    </x:xf>
    <x:xf numFmtId="0" fontId="12" fillId="10" borderId="44" xfId="0" applyNumberFormat="1" applyFont="1" applyFill="1" applyBorder="1" applyAlignment="1">
      <x:alignment horizontal="center" vertical="center" wrapText="1"/>
    </x:xf>
    <x:xf numFmtId="0" fontId="12" fillId="10" borderId="45" xfId="0" applyNumberFormat="1" applyFont="1" applyFill="1" applyBorder="1" applyAlignment="1">
      <x:alignment horizontal="center" vertical="center" wrapText="1"/>
    </x:xf>
    <x:xf numFmtId="0" fontId="12" fillId="10" borderId="46" xfId="0" applyNumberFormat="1" applyFont="1" applyFill="1" applyBorder="1" applyAlignment="1">
      <x:alignment horizontal="center" vertical="center" wrapText="1"/>
    </x:xf>
    <x:xf numFmtId="0" fontId="12" fillId="10" borderId="47" xfId="0" applyNumberFormat="1" applyFont="1" applyFill="1" applyBorder="1" applyAlignment="1">
      <x:alignment horizontal="center" vertical="center" wrapText="1"/>
    </x:xf>
    <x:xf numFmtId="0" fontId="12" fillId="10" borderId="32" xfId="0" applyNumberFormat="1" applyFont="1" applyFill="1" applyBorder="1" applyAlignment="1">
      <x:alignment horizontal="left" wrapText="1"/>
    </x:xf>
    <x:xf numFmtId="0" fontId="12" fillId="10" borderId="33" xfId="0" applyNumberFormat="1" applyFont="1" applyFill="1" applyBorder="1" applyAlignment="1">
      <x:alignment horizontal="left" wrapText="1"/>
    </x:xf>
    <x:xf numFmtId="0" fontId="12" fillId="10" borderId="34" xfId="0" applyNumberFormat="1" applyFont="1" applyFill="1" applyBorder="1" applyAlignment="1">
      <x:alignment horizontal="left" wrapText="1"/>
    </x:xf>
    <x:xf numFmtId="0" fontId="12" fillId="10" borderId="35" xfId="0" applyNumberFormat="1" applyFont="1" applyFill="1" applyBorder="1" applyAlignment="1">
      <x:alignment horizontal="left" wrapText="1"/>
    </x:xf>
    <x:xf numFmtId="0" fontId="12" fillId="10" borderId="0" xfId="0" applyNumberFormat="1" applyFont="1" applyFill="1" applyBorder="1" applyAlignment="1">
      <x:alignment horizontal="left" wrapText="1"/>
    </x:xf>
    <x:xf numFmtId="0" fontId="12" fillId="10" borderId="36" xfId="0" applyNumberFormat="1" applyFont="1" applyFill="1" applyBorder="1" applyAlignment="1">
      <x:alignment horizontal="left" wrapText="1"/>
    </x:xf>
    <x:xf numFmtId="0" fontId="12" fillId="10" borderId="37" xfId="0" applyNumberFormat="1" applyFont="1" applyFill="1" applyBorder="1" applyAlignment="1">
      <x:alignment horizontal="left" wrapText="1"/>
    </x:xf>
    <x:xf numFmtId="0" fontId="12" fillId="10" borderId="38" xfId="0" applyNumberFormat="1" applyFont="1" applyFill="1" applyBorder="1" applyAlignment="1">
      <x:alignment horizontal="left" wrapText="1"/>
    </x:xf>
    <x:xf numFmtId="0" fontId="12" fillId="10" borderId="39" xfId="0" applyNumberFormat="1" applyFont="1" applyFill="1" applyBorder="1" applyAlignment="1">
      <x:alignment horizontal="left" wrapText="1"/>
    </x:xf>
    <x:xf numFmtId="0" fontId="12" fillId="10" borderId="32" xfId="0" applyNumberFormat="1" applyFont="1" applyFill="1" applyBorder="1" applyAlignment="1">
      <x:alignment horizontal="left" vertical="center" wrapText="1"/>
    </x:xf>
    <x:xf numFmtId="0" fontId="12" fillId="10" borderId="33" xfId="0" applyNumberFormat="1" applyFont="1" applyFill="1" applyBorder="1" applyAlignment="1">
      <x:alignment horizontal="left" vertical="center" wrapText="1"/>
    </x:xf>
    <x:xf numFmtId="0" fontId="12" fillId="10" borderId="34" xfId="0" applyNumberFormat="1" applyFont="1" applyFill="1" applyBorder="1" applyAlignment="1">
      <x:alignment horizontal="left" vertical="center" wrapText="1"/>
    </x:xf>
    <x:xf numFmtId="0" fontId="12" fillId="10" borderId="35" xfId="0" applyNumberFormat="1" applyFont="1" applyFill="1" applyBorder="1" applyAlignment="1">
      <x:alignment horizontal="left" vertical="center" wrapText="1"/>
    </x:xf>
    <x:xf numFmtId="0" fontId="12" fillId="10" borderId="0" xfId="0" applyNumberFormat="1" applyFont="1" applyFill="1" applyBorder="1" applyAlignment="1">
      <x:alignment horizontal="left" vertical="center" wrapText="1"/>
    </x:xf>
    <x:xf numFmtId="0" fontId="12" fillId="10" borderId="36" xfId="0" applyNumberFormat="1" applyFont="1" applyFill="1" applyBorder="1" applyAlignment="1">
      <x:alignment horizontal="left" vertical="center" wrapText="1"/>
    </x:xf>
    <x:xf numFmtId="0" fontId="12" fillId="10" borderId="37" xfId="0" applyNumberFormat="1" applyFont="1" applyFill="1" applyBorder="1" applyAlignment="1">
      <x:alignment horizontal="left" vertical="center" wrapText="1"/>
    </x:xf>
    <x:xf numFmtId="0" fontId="12" fillId="10" borderId="38" xfId="0" applyNumberFormat="1" applyFont="1" applyFill="1" applyBorder="1" applyAlignment="1">
      <x:alignment horizontal="left" vertical="center" wrapText="1"/>
    </x:xf>
    <x:xf numFmtId="0" fontId="12" fillId="10" borderId="39" xfId="0" applyNumberFormat="1" applyFont="1" applyFill="1" applyBorder="1" applyAlignment="1">
      <x:alignment horizontal="left" vertical="center" wrapText="1"/>
    </x:xf>
    <x:xf numFmtId="0" fontId="12" fillId="10" borderId="40" xfId="0" applyNumberFormat="1" applyFont="1" applyFill="1" applyBorder="1" applyAlignment="1">
      <x:alignment horizontal="left" wrapText="1"/>
    </x:xf>
    <x:xf numFmtId="0" fontId="12" fillId="10" borderId="41" xfId="0" applyNumberFormat="1" applyFont="1" applyFill="1" applyBorder="1" applyAlignment="1">
      <x:alignment horizontal="left" wrapText="1"/>
    </x:xf>
    <x:xf numFmtId="0" fontId="12" fillId="10" borderId="42" xfId="0" applyNumberFormat="1" applyFont="1" applyFill="1" applyBorder="1" applyAlignment="1">
      <x:alignment horizontal="left" wrapText="1"/>
    </x:xf>
    <x:xf numFmtId="0" fontId="12" fillId="10" borderId="43" xfId="0" applyNumberFormat="1" applyFont="1" applyFill="1" applyBorder="1" applyAlignment="1">
      <x:alignment horizontal="left" wrapText="1"/>
    </x:xf>
    <x:xf numFmtId="0" fontId="12" fillId="10" borderId="1" xfId="0" applyNumberFormat="1" applyFont="1" applyFill="1" applyBorder="1" applyAlignment="1">
      <x:alignment horizontal="left" wrapText="1"/>
    </x:xf>
    <x:xf numFmtId="0" fontId="12" fillId="10" borderId="44" xfId="0" applyNumberFormat="1" applyFont="1" applyFill="1" applyBorder="1" applyAlignment="1">
      <x:alignment horizontal="left" wrapText="1"/>
    </x:xf>
    <x:xf numFmtId="0" fontId="12" fillId="10" borderId="45" xfId="0" applyNumberFormat="1" applyFont="1" applyFill="1" applyBorder="1" applyAlignment="1">
      <x:alignment horizontal="left" wrapText="1"/>
    </x:xf>
    <x:xf numFmtId="0" fontId="12" fillId="10" borderId="46" xfId="0" applyNumberFormat="1" applyFont="1" applyFill="1" applyBorder="1" applyAlignment="1">
      <x:alignment horizontal="left" wrapText="1"/>
    </x:xf>
    <x:xf numFmtId="0" fontId="12" fillId="10" borderId="47" xfId="0" applyNumberFormat="1" applyFont="1" applyFill="1" applyBorder="1" applyAlignment="1">
      <x:alignment horizontal="left" wrapText="1"/>
    </x:xf>
    <x:xf numFmtId="0" fontId="12" fillId="10" borderId="40" xfId="0" applyNumberFormat="1" applyFont="1" applyFill="1" applyBorder="1" applyAlignment="1">
      <x:alignment horizontal="left" vertical="center" wrapText="1"/>
    </x:xf>
    <x:xf numFmtId="0" fontId="12" fillId="10" borderId="41" xfId="0" applyNumberFormat="1" applyFont="1" applyFill="1" applyBorder="1" applyAlignment="1">
      <x:alignment horizontal="left" vertical="center" wrapText="1"/>
    </x:xf>
    <x:xf numFmtId="0" fontId="12" fillId="10" borderId="42" xfId="0" applyNumberFormat="1" applyFont="1" applyFill="1" applyBorder="1" applyAlignment="1">
      <x:alignment horizontal="left" vertical="center" wrapText="1"/>
    </x:xf>
    <x:xf numFmtId="0" fontId="12" fillId="10" borderId="43" xfId="0" applyNumberFormat="1" applyFont="1" applyFill="1" applyBorder="1" applyAlignment="1">
      <x:alignment horizontal="left" vertical="center" wrapText="1"/>
    </x:xf>
    <x:xf numFmtId="0" fontId="12" fillId="10" borderId="1" xfId="0" applyNumberFormat="1" applyFont="1" applyFill="1" applyBorder="1" applyAlignment="1">
      <x:alignment horizontal="left" vertical="center" wrapText="1"/>
    </x:xf>
    <x:xf numFmtId="0" fontId="12" fillId="10" borderId="44" xfId="0" applyNumberFormat="1" applyFont="1" applyFill="1" applyBorder="1" applyAlignment="1">
      <x:alignment horizontal="left" vertical="center" wrapText="1"/>
    </x:xf>
    <x:xf numFmtId="0" fontId="12" fillId="10" borderId="45" xfId="0" applyNumberFormat="1" applyFont="1" applyFill="1" applyBorder="1" applyAlignment="1">
      <x:alignment horizontal="left" vertical="center" wrapText="1"/>
    </x:xf>
    <x:xf numFmtId="0" fontId="12" fillId="10" borderId="46" xfId="0" applyNumberFormat="1" applyFont="1" applyFill="1" applyBorder="1" applyAlignment="1">
      <x:alignment horizontal="left" vertical="center" wrapText="1"/>
    </x:xf>
    <x:xf numFmtId="0" fontId="12" fillId="10" borderId="47" xfId="0" applyNumberFormat="1" applyFont="1" applyFill="1" applyBorder="1" applyAlignment="1">
      <x:alignment horizontal="left" vertical="center" wrapText="1"/>
    </x:xf>
    <x:xf numFmtId="0" fontId="13" fillId="5" borderId="0" xfId="0" applyNumberFormat="1" applyFont="1" applyFill="1" applyBorder="1"/>
    <x:xf numFmtId="0" fontId="13" fillId="5" borderId="10" xfId="0" applyNumberFormat="1" applyFont="1" applyFill="1" applyBorder="1"/>
    <x:xf numFmtId="0" fontId="13" fillId="5" borderId="11" xfId="0" applyNumberFormat="1" applyFont="1" applyFill="1" applyBorder="1"/>
    <x:xf numFmtId="0" fontId="13" fillId="5" borderId="14" xfId="0" applyNumberFormat="1" applyFont="1" applyFill="1" applyBorder="1"/>
    <x:xf numFmtId="0" fontId="13" fillId="5" borderId="15" xfId="0" applyNumberFormat="1" applyFont="1" applyFill="1" applyBorder="1"/>
    <x:xf numFmtId="202" fontId="13" fillId="5" borderId="10" xfId="0" applyNumberFormat="1" applyFont="1" applyFill="1" applyBorder="1"/>
    <x:xf numFmtId="202" fontId="13" fillId="5" borderId="11" xfId="0" applyNumberFormat="1" applyFont="1" applyFill="1" applyBorder="1"/>
    <x:xf numFmtId="202" fontId="13" fillId="5" borderId="14" xfId="0" applyNumberFormat="1" applyFont="1" applyFill="1" applyBorder="1"/>
    <x:xf numFmtId="202" fontId="13" fillId="5" borderId="15" xfId="0" applyNumberFormat="1" applyFont="1" applyFill="1" applyBorder="1"/>
    <x:xf numFmtId="202" fontId="13" fillId="5" borderId="10" xfId="0" applyNumberFormat="1" applyFont="1" applyFill="1" applyBorder="1" applyAlignment="1">
      <x:alignment horizontal="center"/>
    </x:xf>
    <x:xf numFmtId="202" fontId="13" fillId="5" borderId="11" xfId="0" applyNumberFormat="1" applyFont="1" applyFill="1" applyBorder="1" applyAlignment="1">
      <x:alignment horizontal="center"/>
    </x:xf>
    <x:xf numFmtId="202" fontId="13" fillId="5" borderId="14" xfId="0" applyNumberFormat="1" applyFont="1" applyFill="1" applyBorder="1" applyAlignment="1">
      <x:alignment horizontal="center"/>
    </x:xf>
    <x:xf numFmtId="202" fontId="13" fillId="5" borderId="15" xfId="0" applyNumberFormat="1" applyFont="1" applyFill="1" applyBorder="1" applyAlignment="1">
      <x:alignment horizontal="center"/>
    </x:xf>
    <x:xf numFmtId="202" fontId="13" fillId="5" borderId="10" xfId="0" applyNumberFormat="1" applyFont="1" applyFill="1" applyBorder="1" applyAlignment="1">
      <x:alignment horizontal="center" vertical="center"/>
    </x:xf>
    <x:xf numFmtId="202" fontId="13" fillId="5" borderId="11" xfId="0" applyNumberFormat="1" applyFont="1" applyFill="1" applyBorder="1" applyAlignment="1">
      <x:alignment horizontal="center" vertical="center"/>
    </x:xf>
    <x:xf numFmtId="202" fontId="13" fillId="5" borderId="14" xfId="0" applyNumberFormat="1" applyFont="1" applyFill="1" applyBorder="1" applyAlignment="1">
      <x:alignment horizontal="center" vertical="center"/>
    </x:xf>
    <x:xf numFmtId="202" fontId="13" fillId="5" borderId="15" xfId="0" applyNumberFormat="1" applyFont="1" applyFill="1" applyBorder="1" applyAlignment="1">
      <x:alignment horizontal="center" vertical="center"/>
    </x:xf>
    <x:xf numFmtId="0" fontId="13" fillId="5" borderId="1" xfId="0" applyNumberFormat="1" applyFont="1" applyFill="1" applyBorder="1"/>
    <x:xf numFmtId="0" fontId="13" fillId="5" borderId="16" xfId="0" applyNumberFormat="1" applyFont="1" applyFill="1" applyBorder="1"/>
    <x:xf numFmtId="0" fontId="13" fillId="5" borderId="17" xfId="0" applyNumberFormat="1" applyFont="1" applyFill="1" applyBorder="1"/>
    <x:xf numFmtId="0" fontId="13" fillId="5" borderId="20" xfId="0" applyNumberFormat="1" applyFont="1" applyFill="1" applyBorder="1"/>
    <x:xf numFmtId="0" fontId="13" fillId="5" borderId="21" xfId="0" applyNumberFormat="1" applyFont="1" applyFill="1" applyBorder="1"/>
    <x:xf numFmtId="202" fontId="13" fillId="5" borderId="16" xfId="0" applyNumberFormat="1" applyFont="1" applyFill="1" applyBorder="1"/>
    <x:xf numFmtId="202" fontId="13" fillId="5" borderId="17" xfId="0" applyNumberFormat="1" applyFont="1" applyFill="1" applyBorder="1"/>
    <x:xf numFmtId="202" fontId="13" fillId="5" borderId="20" xfId="0" applyNumberFormat="1" applyFont="1" applyFill="1" applyBorder="1"/>
    <x:xf numFmtId="202" fontId="13" fillId="5" borderId="21" xfId="0" applyNumberFormat="1" applyFont="1" applyFill="1" applyBorder="1"/>
    <x:xf numFmtId="202" fontId="13" fillId="5" borderId="16" xfId="0" applyNumberFormat="1" applyFont="1" applyFill="1" applyBorder="1" applyAlignment="1">
      <x:alignment horizontal="center"/>
    </x:xf>
    <x:xf numFmtId="202" fontId="13" fillId="5" borderId="17" xfId="0" applyNumberFormat="1" applyFont="1" applyFill="1" applyBorder="1" applyAlignment="1">
      <x:alignment horizontal="center"/>
    </x:xf>
    <x:xf numFmtId="202" fontId="13" fillId="5" borderId="20" xfId="0" applyNumberFormat="1" applyFont="1" applyFill="1" applyBorder="1" applyAlignment="1">
      <x:alignment horizontal="center"/>
    </x:xf>
    <x:xf numFmtId="202" fontId="13" fillId="5" borderId="21" xfId="0" applyNumberFormat="1" applyFont="1" applyFill="1" applyBorder="1" applyAlignment="1">
      <x:alignment horizontal="center"/>
    </x:xf>
    <x:xf numFmtId="202" fontId="13" fillId="5" borderId="16" xfId="0" applyNumberFormat="1" applyFont="1" applyFill="1" applyBorder="1" applyAlignment="1">
      <x:alignment horizontal="center" vertical="center"/>
    </x:xf>
    <x:xf numFmtId="202" fontId="13" fillId="5" borderId="17" xfId="0" applyNumberFormat="1" applyFont="1" applyFill="1" applyBorder="1" applyAlignment="1">
      <x:alignment horizontal="center" vertical="center"/>
    </x:xf>
    <x:xf numFmtId="202" fontId="13" fillId="5" borderId="20" xfId="0" applyNumberFormat="1" applyFont="1" applyFill="1" applyBorder="1" applyAlignment="1">
      <x:alignment horizontal="center" vertical="center"/>
    </x:xf>
    <x:xf numFmtId="202" fontId="13" fillId="5" borderId="21" xfId="0" applyNumberFormat="1" applyFont="1" applyFill="1" applyBorder="1" applyAlignment="1">
      <x:alignment horizontal="center" vertical="center"/>
    </x:xf>
    <x:xf numFmtId="202" fontId="14" fillId="5" borderId="10" xfId="0" applyNumberFormat="1" applyFont="1" applyFill="1" applyBorder="1" applyAlignment="1">
      <x:alignment horizontal="center" vertical="center"/>
    </x:xf>
    <x:xf numFmtId="202" fontId="14" fillId="5" borderId="11" xfId="0" applyNumberFormat="1" applyFont="1" applyFill="1" applyBorder="1" applyAlignment="1">
      <x:alignment horizontal="center" vertical="center"/>
    </x:xf>
    <x:xf numFmtId="202" fontId="14" fillId="5" borderId="14" xfId="0" applyNumberFormat="1" applyFont="1" applyFill="1" applyBorder="1" applyAlignment="1">
      <x:alignment horizontal="center" vertical="center"/>
    </x:xf>
    <x:xf numFmtId="202" fontId="14" fillId="5" borderId="15" xfId="0" applyNumberFormat="1" applyFont="1" applyFill="1" applyBorder="1" applyAlignment="1">
      <x:alignment horizontal="center" vertical="center"/>
    </x:xf>
    <x:xf numFmtId="202" fontId="14" fillId="5" borderId="16" xfId="0" applyNumberFormat="1" applyFont="1" applyFill="1" applyBorder="1" applyAlignment="1">
      <x:alignment horizontal="center" vertical="center"/>
    </x:xf>
    <x:xf numFmtId="202" fontId="14" fillId="5" borderId="17" xfId="0" applyNumberFormat="1" applyFont="1" applyFill="1" applyBorder="1" applyAlignment="1">
      <x:alignment horizontal="center" vertical="center"/>
    </x:xf>
    <x:xf numFmtId="202" fontId="14" fillId="5" borderId="20" xfId="0" applyNumberFormat="1" applyFont="1" applyFill="1" applyBorder="1" applyAlignment="1">
      <x:alignment horizontal="center" vertical="center"/>
    </x:xf>
    <x:xf numFmtId="202" fontId="14" fillId="5" borderId="21"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wrapText="1"/>
    </x:xf>
    <x:xf numFmtId="0" fontId="15" fillId="0" borderId="0" xfId="0" applyNumberFormat="1" applyFont="1" applyFill="1" applyBorder="1" applyAlignment="1">
      <x:alignment horizontal="center" wrapText="1"/>
    </x:xf>
    <x:xf numFmtId="0" fontId="15" fillId="0" borderId="1" xfId="0" applyNumberFormat="1" applyFont="1" applyFill="1" applyBorder="1"/>
    <x:xf numFmtId="0" fontId="15" fillId="0" borderId="1" xfId="0" applyNumberFormat="1" applyFont="1" applyFill="1" applyBorder="1" applyAlignment="1">
      <x:alignment wrapText="1"/>
    </x:xf>
    <x:xf numFmtId="0" fontId="15" fillId="0" borderId="1" xfId="0" applyNumberFormat="1" applyFont="1" applyFill="1" applyBorder="1" applyAlignment="1">
      <x:alignment horizontal="center" wrapText="1"/>
    </x:xf>
    <x:xf numFmtId="0" fontId="16" fillId="6" borderId="0" xfId="0" applyNumberFormat="1" applyFont="1" applyFill="1" applyBorder="1"/>
    <x:xf numFmtId="0" fontId="16" fillId="6" borderId="0" xfId="0" applyNumberFormat="1" applyFont="1" applyFill="1" applyBorder="1" applyAlignment="1">
      <x:alignment wrapText="1"/>
    </x:xf>
    <x:xf numFmtId="0" fontId="16" fillId="6" borderId="0" xfId="0" applyNumberFormat="1" applyFont="1" applyFill="1" applyBorder="1" applyAlignment="1">
      <x:alignment vertical="top" wrapText="1"/>
    </x:xf>
    <x:xf numFmtId="0" fontId="16" fillId="6" borderId="1" xfId="0" applyNumberFormat="1" applyFont="1" applyFill="1" applyBorder="1"/>
    <x:xf numFmtId="0" fontId="16" fillId="6" borderId="1" xfId="0" applyNumberFormat="1" applyFont="1" applyFill="1" applyBorder="1" applyAlignment="1">
      <x:alignment wrapText="1"/>
    </x:xf>
    <x:xf numFmtId="0" fontId="16" fillId="6" borderId="1" xfId="0" applyNumberFormat="1" applyFont="1" applyFill="1" applyBorder="1" applyAlignment="1">
      <x:alignment vertical="top" wrapText="1"/>
    </x:xf>
    <x:xf numFmtId="205" fontId="4" fillId="7" borderId="0" xfId="0" applyNumberFormat="1" applyFont="1" applyFill="1" applyBorder="1" applyAlignment="1">
      <x:alignment vertical="top" wrapText="1"/>
    </x:xf>
    <x:xf numFmtId="205" fontId="5" fillId="7" borderId="0" xfId="0" applyNumberFormat="1" applyFont="1" applyFill="1" applyBorder="1" applyAlignment="1">
      <x:alignment vertical="top" wrapText="1"/>
    </x:xf>
    <x:xf numFmtId="205" fontId="5" fillId="7" borderId="8" xfId="0" applyNumberFormat="1" applyFont="1" applyFill="1" applyBorder="1" applyAlignment="1">
      <x:alignment vertical="top" wrapText="1"/>
    </x:xf>
    <x:xf numFmtId="205" fontId="4" fillId="7" borderId="1" xfId="0" applyNumberFormat="1" applyFont="1" applyFill="1" applyBorder="1" applyAlignment="1">
      <x:alignment vertical="top" wrapText="1"/>
    </x:xf>
    <x:xf numFmtId="205" fontId="5" fillId="7" borderId="1" xfId="0" applyNumberFormat="1" applyFont="1" applyFill="1" applyBorder="1" applyAlignment="1">
      <x:alignment vertical="top" wrapText="1"/>
    </x:xf>
    <x:xf numFmtId="205" fontId="5" fillId="7" borderId="9" xfId="0" applyNumberFormat="1" applyFont="1" applyFill="1" applyBorder="1" applyAlignment="1">
      <x:alignment vertical="top" wrapText="1"/>
    </x:xf>
    <x:xf numFmtId="0" fontId="17" fillId="6" borderId="0" xfId="0" applyNumberFormat="1" applyFont="1" applyFill="1" applyBorder="1"/>
    <x:xf numFmtId="0" fontId="17" fillId="6" borderId="8" xfId="0" applyNumberFormat="1" applyFont="1" applyFill="1" applyBorder="1"/>
    <x:xf numFmtId="0" fontId="17" fillId="6" borderId="1" xfId="0" applyNumberFormat="1" applyFont="1" applyFill="1" applyBorder="1"/>
    <x:xf numFmtId="0" fontId="17" fillId="6" borderId="9" xfId="0" applyNumberFormat="1" applyFont="1" applyFill="1" applyBorder="1"/>
    <x:xf numFmtId="0" fontId="0" fillId="0"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top" wrapText="1"/>
    </x:xf>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0" fillId="0" borderId="0" xfId="0" applyNumberFormat="1" applyFont="1" applyFill="1" applyBorder="1">
      <x:extLst>
        <x:ext uri="{C7286773-470A-42A8-94C5-96B5CB345126}">
          <xfpb:xfComplement xmlns:xfpb="http://schemas.microsoft.com/office/spreadsheetml/2022/featurepropertybag" i="0"/>
        </x:ext>
      </x:extLst>
    </x:xf>
    <x:xf numFmtId="202" fontId="9" fillId="7" borderId="0" xfId="0" applyNumberFormat="1" applyFont="1" applyFill="1" applyBorder="1" applyAlignment="1">
      <x:alignment vertical="top" wrapText="1"/>
    </x:xf>
    <x:xf numFmtId="0" fontId="10" fillId="5" borderId="0" xfId="0" applyNumberFormat="1" applyFont="1" applyFill="1" applyBorder="1" applyAlignment="1">
      <x:alignment wrapText="1"/>
    </x:xf>
    <x:xf numFmtId="0" fontId="10" fillId="5" borderId="0" xfId="0" applyNumberFormat="1" applyFont="1" applyFill="1" applyBorder="1" applyAlignment="1">
      <x:alignment vertical="top" wrapText="1"/>
    </x:xf>
    <x:xf numFmtId="0" fontId="11" fillId="6" borderId="0" xfId="0" applyNumberFormat="1" applyFont="1" applyFill="1" applyBorder="1" applyAlignment="1">
      <x:alignment wrapText="1"/>
    </x:xf>
    <x:xf numFmtId="0" fontId="11" fillId="6" borderId="0" xfId="0" applyNumberFormat="1" applyFont="1" applyFill="1" applyBorder="1" applyAlignment="1">
      <x:alignment horizontal="center" wrapText="1"/>
    </x:xf>
    <x:xf numFmtId="0" fontId="11" fillId="6" borderId="0" xfId="0" applyNumberFormat="1" applyFont="1" applyFill="1" applyBorder="1" applyAlignment="1">
      <x:alignment horizontal="center" vertical="center" wrapText="1"/>
    </x:xf>
    <x:xf numFmtId="202" fontId="13" fillId="5" borderId="0" xfId="0" applyNumberFormat="1" applyFont="1" applyFill="1" applyBorder="1"/>
    <x:xf numFmtId="202" fontId="13" fillId="5" borderId="0" xfId="0" applyNumberFormat="1" applyFont="1" applyFill="1" applyBorder="1" applyAlignment="1">
      <x:alignment horizontal="center"/>
    </x:xf>
    <x:xf numFmtId="202" fontId="13" fillId="5" borderId="0" xfId="0" applyNumberFormat="1" applyFont="1" applyFill="1" applyBorder="1" applyAlignment="1">
      <x:alignment horizontal="center" vertical="center"/>
    </x:xf>
    <x:xf numFmtId="202" fontId="14" fillId="5" borderId="0" xfId="0" applyNumberFormat="1" applyFont="1" applyFill="1" applyBorder="1" applyAlignment="1">
      <x:alignment horizontal="center" vertical="center"/>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0" fillId="11" borderId="0" xfId="0" applyNumberFormat="1" applyFont="1" applyFill="1" applyBorder="1"/>
    <x:xf numFmtId="0" fontId="18"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applyAlignment="1">
      <x:alignment horizontal="center" wrapText="1"/>
    </x:xf>
    <x:xf numFmtId="0" fontId="18" fillId="11" borderId="0" xfId="0" applyNumberFormat="1" applyFont="1" applyFill="1" applyBorder="1" applyAlignment="1">
      <x:alignment horizontal="center" vertical="center" wrapText="1"/>
    </x:xf>
    <x:xf numFmtId="0" fontId="0" fillId="12" borderId="0" xfId="0" applyNumberFormat="1" applyFont="1" applyFill="1" applyBorder="1"/>
    <x:xf numFmtId="0" fontId="19" fillId="12" borderId="0" xfId="0" applyNumberFormat="1" applyFont="1" applyFill="1" applyBorder="1"/>
    <x:xf numFmtId="0" fontId="19" fillId="12" borderId="0" xfId="0" applyNumberFormat="1" applyFont="1" applyFill="1" applyBorder="1" applyAlignment="1">
      <x:alignment wrapText="1"/>
    </x:xf>
    <x:xf numFmtId="0" fontId="0" fillId="13" borderId="0" xfId="0" applyNumberFormat="1" applyFont="1" applyFill="1" applyBorder="1"/>
    <x:xf numFmtId="0" fontId="20" fillId="13" borderId="0" xfId="0" applyNumberFormat="1" applyFont="1" applyFill="1" applyBorder="1"/>
    <x:xf numFmtId="0" fontId="20" fillId="13"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cellXfs>
  <x:cellStyles count="1">
    <x:cellStyle name="Normal" xfId="0"/>
  </x:cellStyles>
  <x:dxfs count="4">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1fb3db183947dd" /><Relationship Type="http://schemas.openxmlformats.org/officeDocument/2006/relationships/theme" Target="/xl/theme/theme1.xml" Id="R4a3b4c97b0bc42a6" /><Relationship Type="http://schemas.microsoft.com/office/2022/11/relationships/FeaturePropertyBag" Target="/xl/featurePropertyBag/featurePropertyBag.xml" Id="R66fb33e0c8e44a81" /><Relationship Type="http://schemas.openxmlformats.org/officeDocument/2006/relationships/sharedStrings" Target="/xl/sharedStrings.xml" Id="R7d426e6903ac4307" /><Relationship Type="http://schemas.openxmlformats.org/officeDocument/2006/relationships/worksheet" Target="/xl/worksheets/sheet1.xml" Id="R4d778335ef8d4705" /><Relationship Type="http://schemas.openxmlformats.org/officeDocument/2006/relationships/worksheet" Target="/xl/worksheets/sheet2.xml" Id="Ra606c2093de54ad5" /><Relationship Type="http://schemas.openxmlformats.org/officeDocument/2006/relationships/worksheet" Target="/xl/worksheets/sheet3.xml" Id="Rfc450a3960cb4242" /><Relationship Type="http://schemas.openxmlformats.org/officeDocument/2006/relationships/worksheet" Target="/xl/worksheets/sheet4.xml" Id="R44e4c7bc600c4a37" /><Relationship Type="http://schemas.openxmlformats.org/officeDocument/2006/relationships/worksheet" Target="/xl/worksheets/sheet5.xml" Id="R963ae74993e544f0" /><Relationship Type="http://schemas.openxmlformats.org/officeDocument/2006/relationships/worksheet" Target="/xl/worksheets/sheet6.xml" Id="Re5195482513043ef" /><Relationship Type="http://schemas.openxmlformats.org/officeDocument/2006/relationships/worksheet" Target="/xl/worksheets/sheet7.xml" Id="Red22faf52ec44598" /><Relationship Type="http://schemas.openxmlformats.org/officeDocument/2006/relationships/worksheet" Target="/xl/worksheets/sheet8.xml" Id="R1af21003eee8460a" /><Relationship Type="http://schemas.openxmlformats.org/officeDocument/2006/relationships/worksheet" Target="/xl/worksheets/sheet9.xml" Id="R1079ada20e8f4599" /><Relationship Type="http://schemas.openxmlformats.org/officeDocument/2006/relationships/worksheet" Target="/xl/worksheets/sheet10.xml" Id="Ra31fe1efc68d4888" /><Relationship Type="http://schemas.openxmlformats.org/officeDocument/2006/relationships/worksheet" Target="/xl/worksheets/sheet11.xml" Id="R4376d4c9294e4ee8" /><Relationship Type="http://schemas.openxmlformats.org/officeDocument/2006/relationships/worksheet" Target="/xl/worksheets/sheet12.xml" Id="Rf429617cc9ac461b" /><Relationship Type="http://schemas.openxmlformats.org/officeDocument/2006/relationships/worksheet" Target="/xl/worksheets/sheet13.xml" Id="Re2f4dfbf2564433a" /><Relationship Type="http://schemas.openxmlformats.org/officeDocument/2006/relationships/worksheet" Target="/xl/worksheets/sheet14.xml" Id="R47b8bb74792b4c5a" /><Relationship Type="http://schemas.openxmlformats.org/officeDocument/2006/relationships/worksheet" Target="/xl/worksheets/sheet15.xml" Id="R53feccde32914155" /><Relationship Type="http://schemas.openxmlformats.org/officeDocument/2006/relationships/worksheet" Target="/xl/worksheets/sheet16.xml" Id="R7d6411d0c5c04930" /><Relationship Type="http://schemas.microsoft.com/office/2017/10/relationships/person" Target="/xl/persons/person.xml" Id="R87df748750904e0c" /></Relationships>
</file>

<file path=xl/drawings/_rels/drawing1.xml.rels>&#65279;<?xml version="1.0" encoding="utf-8"?><Relationships xmlns="http://schemas.openxmlformats.org/package/2006/relationships"><Relationship Type="http://schemas.openxmlformats.org/officeDocument/2006/relationships/chart" Target="/xl/drawings/charts/chart1.xml" Id="R5092eae5485749dd" /><Relationship Type="http://schemas.openxmlformats.org/officeDocument/2006/relationships/chart" Target="/xl/drawings/charts/chart2.xml" Id="R7d305dc828c9422a" /></Relationships>
</file>

<file path=xl/drawings/_rels/drawing2.xml.rels>&#65279;<?xml version="1.0" encoding="utf-8"?><Relationships xmlns="http://schemas.openxmlformats.org/package/2006/relationships"><Relationship Type="http://schemas.openxmlformats.org/officeDocument/2006/relationships/chart" Target="/xl/drawings/charts/chart3.xml" Id="R42502401a7124f23" /></Relationships>
</file>

<file path=xl/drawings/_rels/drawing3.xml.rels>&#65279;<?xml version="1.0" encoding="utf-8"?><Relationships xmlns="http://schemas.openxmlformats.org/package/2006/relationships"><Relationship Type="http://schemas.openxmlformats.org/officeDocument/2006/relationships/chart" Target="/xl/drawings/charts/chart4.xml" Id="R2daa261fcff24a5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Recurring obligations per $100 of each system's own FY2025 revenue denominator</a:t>
            </a:r>
          </a:p>
        </c:rich>
      </c:tx>
    </c:title>
    <c:plotArea>
      <c:barChart>
        <c:barDir val="col"/>
        <c:grouping val="stacked"/>
        <c:varyColors val="0"/>
        <c:ser>
          <c:idx val="0"/>
          <c:order val="0"/>
          <c:tx>
            <c:v>Operations</c:v>
          </c:tx>
          <c:cat>
            <c:strRef>
              <c:f>'05_100_Comparison'!$A$12:$A$14</c:f>
              <c:strCache>
                <c:ptCount val="0"/>
              </c:strCache>
            </c:strRef>
          </c:cat>
          <c:val>
            <c:numRef>
              <c:f>'05_100_Comparison'!$B$12:$B$14</c:f>
              <c:numCache>
                <c:formatCode>0.0</c:formatCode>
                <c:ptCount val="0"/>
              </c:numCache>
            </c:numRef>
          </c:val>
        </c:ser>
        <c:ser>
          <c:idx val="1"/>
          <c:order val="1"/>
          <c:tx>
            <c:v>Maintenance</c:v>
          </c:tx>
          <c:cat>
            <c:strRef>
              <c:f>'05_100_Comparison'!$A$12:$A$14</c:f>
              <c:strCache>
                <c:ptCount val="0"/>
              </c:strCache>
            </c:strRef>
          </c:cat>
          <c:val>
            <c:numRef>
              <c:f>'05_100_Comparison'!$C$12:$C$14</c:f>
              <c:numCache>
                <c:formatCode>0.0</c:formatCode>
                <c:ptCount val="0"/>
              </c:numCache>
            </c:numRef>
          </c:val>
        </c:ser>
        <c:ser>
          <c:idx val="2"/>
          <c:order val="2"/>
          <c:tx>
            <c:v>Debt service</c:v>
          </c:tx>
          <c:cat>
            <c:strRef>
              <c:f>'05_100_Comparison'!$A$12:$A$14</c:f>
              <c:strCache>
                <c:ptCount val="0"/>
              </c:strCache>
            </c:strRef>
          </c:cat>
          <c:val>
            <c:numRef>
              <c:f>'05_100_Comparison'!$D$12:$D$14</c:f>
              <c:numCache>
                <c:formatCode>0.0</c:formatCode>
                <c:ptCount val="0"/>
              </c:numCache>
            </c:numRef>
          </c:val>
        </c:ser>
        <c:ser>
          <c:idx val="3"/>
          <c:order val="3"/>
          <c:tx>
            <c:v>Transfers</c:v>
          </c:tx>
          <c:cat>
            <c:strRef>
              <c:f>'05_100_Comparison'!$A$12:$A$14</c:f>
              <c:strCache>
                <c:ptCount val="0"/>
              </c:strCache>
            </c:strRef>
          </c:cat>
          <c:val>
            <c:numRef>
              <c:f>'05_100_Comparison'!$E$12:$E$14</c:f>
              <c:numCache>
                <c:formatCode>0.0</c:formatCode>
                <c:ptCount val="0"/>
              </c:numCache>
            </c:numRef>
          </c:val>
        </c:ser>
        <c:ser>
          <c:idx val="4"/>
          <c:order val="4"/>
          <c:tx>
            <c:v>Unallocated residual / required reserve</c:v>
          </c:tx>
          <c:cat>
            <c:strRef>
              <c:f>'05_100_Comparison'!$A$12:$A$14</c:f>
              <c:strCache>
                <c:ptCount val="0"/>
              </c:strCache>
            </c:strRef>
          </c:cat>
          <c:val>
            <c:numRef>
              <c:f>'05_100_Comparison'!$F$12:$F$14</c:f>
              <c:numCache>
                <c:formatCode>0.0</c:formatCode>
                <c:ptCount val="0"/>
              </c:numCache>
            </c:numRef>
          </c:val>
        </c:ser>
        <c:overlap val="10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HCTRA claims per $100 of FY2025 toll revenue</a:t>
            </a:r>
          </a:p>
        </c:rich>
      </c:tx>
    </c:title>
    <c:plotArea>
      <c:barChart>
        <c:barDir val="col"/>
        <c:grouping val="clustered"/>
        <c:varyColors val="0"/>
        <c:ser>
          <c:idx val="0"/>
          <c:order val="0"/>
          <c:tx>
            <c:v>Per $100</c:v>
          </c:tx>
          <c:cat>
            <c:strRef>
              <c:f>'05_100_Comparison'!$L$38:$L$41</c:f>
              <c:strCache>
                <c:ptCount val="0"/>
              </c:strCache>
            </c:strRef>
          </c:cat>
          <c:val>
            <c:numRef>
              <c:f>'05_100_Comparison'!$M$38:$M$41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HCTRA toll revenue — comparable annual periods</a:t>
            </a:r>
          </a:p>
        </c:rich>
      </c:tx>
    </c:title>
    <c:plotArea>
      <c:lineChart>
        <c:grouping val="standard"/>
        <c:varyColors val="0"/>
        <c:ser>
          <c:idx val="0"/>
          <c:order val="0"/>
          <c:tx>
            <c:v>Toll revenue ($mm)</c:v>
          </c:tx>
          <c:marker>
            <c:symbol val="none"/>
          </c:marker>
          <c:cat>
            <c:strRef>
              <c:f>'06_Five_Year_Trend'!$A$17:$A$21</c:f>
              <c:strCache>
                <c:ptCount val="0"/>
              </c:strCache>
            </c:strRef>
          </c:cat>
          <c:val>
            <c:numRef>
              <c:f>'06_Five_Year_Trend'!$B$17:$B$21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FY2025 obligations per $100 of operating revenue</a:t>
            </a:r>
          </a:p>
        </c:rich>
      </c:tx>
    </c:title>
    <c:plotArea>
      <c:barChart>
        <c:barDir val="col"/>
        <c:varyColors val="0"/>
        <c:ser>
          <c:idx val="0"/>
          <c:order val="0"/>
          <c:tx>
            <c:v>Revenue base ($mm)</c:v>
          </c:tx>
          <c:cat>
            <c:strRef>
              <c:f>'15_Web_Publish'!$A$5:$A$6</c:f>
              <c:strCache>
                <c:ptCount val="0"/>
              </c:strCache>
            </c:strRef>
          </c:cat>
          <c:val>
            <c:numRef>
              <c:f>'15_Web_Publish'!$B$5:$B$6</c:f>
              <c:numCache>
                <c:formatCode>$#,##0.0;[Red]($#,##0.0);-</c:formatCode>
                <c:ptCount val="0"/>
              </c:numCache>
            </c:numRef>
          </c:val>
        </c:ser>
        <c:ser>
          <c:idx val="1"/>
          <c:order val="1"/>
          <c:tx>
            <c:v>Operations / $100</c:v>
          </c:tx>
          <c:cat>
            <c:strRef>
              <c:f>'15_Web_Publish'!$A$5:$A$6</c:f>
              <c:strCache>
                <c:ptCount val="0"/>
              </c:strCache>
            </c:strRef>
          </c:cat>
          <c:val>
            <c:numRef>
              <c:f>'15_Web_Publish'!$C$5:$C$6</c:f>
              <c:numCache>
                <c:formatCode>0.00</c:formatCode>
                <c:ptCount val="0"/>
              </c:numCache>
            </c:numRef>
          </c:val>
        </c:ser>
        <c:ser>
          <c:idx val="2"/>
          <c:order val="2"/>
          <c:tx>
            <c:v>Maintenance / $100</c:v>
          </c:tx>
          <c:cat>
            <c:strRef>
              <c:f>'15_Web_Publish'!$A$5:$A$6</c:f>
              <c:strCache>
                <c:ptCount val="0"/>
              </c:strCache>
            </c:strRef>
          </c:cat>
          <c:val>
            <c:numRef>
              <c:f>'15_Web_Publish'!$D$5:$D$6</c:f>
              <c:numCache>
                <c:formatCode>0.00</c:formatCode>
                <c:ptCount val="0"/>
              </c:numCache>
            </c:numRef>
          </c:val>
        </c:ser>
        <c:ser>
          <c:idx val="3"/>
          <c:order val="3"/>
          <c:tx>
            <c:v>Debt service / $100</c:v>
          </c:tx>
          <c:cat>
            <c:strRef>
              <c:f>'15_Web_Publish'!$A$5:$A$6</c:f>
              <c:strCache>
                <c:ptCount val="0"/>
              </c:strCache>
            </c:strRef>
          </c:cat>
          <c:val>
            <c:numRef>
              <c:f>'15_Web_Publish'!$E$5:$E$6</c:f>
              <c:numCache>
                <c:formatCode>0.00</c:formatCode>
                <c:ptCount val="0"/>
              </c:numCache>
            </c:numRef>
          </c:val>
        </c:ser>
        <c:ser>
          <c:idx val="4"/>
          <c:order val="4"/>
          <c:tx>
            <c:v>Required reserve / $100</c:v>
          </c:tx>
          <c:cat>
            <c:strRef>
              <c:f>'15_Web_Publish'!$A$5:$A$6</c:f>
              <c:strCache>
                <c:ptCount val="0"/>
              </c:strCache>
            </c:strRef>
          </c:cat>
          <c:val>
            <c:numRef>
              <c:f>'15_Web_Publish'!$F$5:$F$6</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11</xdr:col>
      <xdr:colOff>0</xdr:colOff>
      <xdr:row>3</xdr:row>
      <xdr:rowOff>0</xdr:rowOff>
    </xdr:from>
    <xdr:ext cx="6858000" cy="314325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92eae5485749dd"/>
        </a:graphicData>
      </a:graphic>
    </xdr:graphicFrame>
    <xdr:clientData/>
  </xdr:oneCellAnchor>
  <xdr:oneCellAnchor>
    <xdr:from>
      <xdr:col>11</xdr:col>
      <xdr:colOff>0</xdr:colOff>
      <xdr:row>19</xdr:row>
      <xdr:rowOff>0</xdr:rowOff>
    </xdr:from>
    <xdr:ext cx="6858000" cy="28575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305dc828c9422a"/>
        </a:graphicData>
      </a:graphic>
    </xdr:graphicFrame>
    <xdr:clientData/>
  </xdr:oneCellAnchor>
</xdr:wsDr>
</file>

<file path=xl/drawings/drawing2.xml><?xml version="1.0" encoding="utf-8"?>
<xdr:wsDr xmlns:xdr="http://schemas.openxmlformats.org/drawingml/2006/spreadsheetDrawing">
  <xdr:oneCellAnchor>
    <xdr:from>
      <xdr:col>8</xdr:col>
      <xdr:colOff>0</xdr:colOff>
      <xdr:row>3</xdr:row>
      <xdr:rowOff>0</xdr:rowOff>
    </xdr:from>
    <xdr:ext cx="6477000" cy="3048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502401a7124f23"/>
        </a:graphicData>
      </a:graphic>
    </xdr:graphicFrame>
    <xdr:clientData/>
  </xdr:oneCellAnchor>
</xdr:wsDr>
</file>

<file path=xl/drawings/drawing3.xml><?xml version="1.0" encoding="utf-8"?>
<xdr:wsDr xmlns:xdr="http://schemas.openxmlformats.org/drawingml/2006/spreadsheetDrawing">
  <xdr:twoCellAnchor>
    <xdr:from>
      <xdr:col>7</xdr:col>
      <xdr:colOff>0</xdr:colOff>
      <xdr:row>3</xdr:row>
      <xdr:rowOff>0</xdr:rowOff>
    </xdr:from>
    <xdr:to>
      <xdr:col>16</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aa261fcff24a5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Researcher A02" id="{4C6A3BD9-D638-4DCD-BD86-43D823421281}"/>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H5" dT="2026-09-02T20:41:58.173" personId="{4C6A3BD9-D638-4DCD-BD86-43D823421281}" id="{B498F962-7164-3154-2664-777077AD4867}">
    <xltc:text>Source S02. Audited FY2025 debt service, rounded to $675.7 million; detailed preliminary monthly report reports $666.9 million net debt service.</xltc:text>
  </xltc:threadedComment>
</xltc:ThreadedComments>
</file>

<file path=xl/threadedcomments/threadedcomment2.xml><?xml version="1.0" encoding="utf-8"?>
<xltc:ThreadedComments xmlns:xltc="http://schemas.microsoft.com/office/spreadsheetml/2018/threadedcomments">
  <xltc:threadedComment ref="B6" dT="2026-09-02T20:40:32.237" personId="{4C6A3BD9-D638-4DCD-BD86-43D823421281}" id="{DAB4D7DE-6FA1-2065-2D77-15006F1FB824}">
    <xltc:text>Source S02. Audited net toll revenue, rounded to $1.253bn.</xltc:text>
  </xltc:threadedComment>
  <xltc:threadedComment ref="B9" dT="2026-09-02T20:40:32.24" personId="{4C6A3BD9-D638-4DCD-BD86-43D823421281}" id="{EDD1F23C-BF5C-90A4-7354-B74114ADAE03}">
    <xltc:text>Source S03. Preliminary gross Trust revenue = net toll + interest income + other revenue.</xltc:text>
  </xltc:threadedComment>
  <xltc:threadedComment ref="B10" dT="2026-09-02T20:40:32.242" personId="{4C6A3BD9-D638-4DCD-BD86-43D823421281}" id="{FB16E5F7-F173-47CD-973A-C5AD2510A457}">
    <xltc:text>Source S03. Preliminary net O&amp;M expense after allocations.</xltc:text>
  </xltc:threadedComment>
  <xltc:threadedComment ref="B15" dT="2026-09-02T20:40:32.245" personId="{4C6A3BD9-D638-4DCD-BD86-43D823421281}" id="{81A01AA3-C287-5E17-1984-5652CEB6214C}">
    <xltc:text>Source S03. Trust-basis O&amp;M used as a partial proxy; not GAAP total operating expense.</xltc:text>
  </xltc:threadedComment>
  <xltc:threadedComment ref="B17" dT="2026-09-02T20:40:32.248" personId="{4C6A3BD9-D638-4DCD-BD86-43D823421281}" id="{724D6063-46CA-C59D-28EC-A09EBFDB5FDA}">
    <xltc:text>Source S03. Preliminary interest income.</xltc:text>
  </xltc:threadedComment>
  <xltc:threadedComment ref="B23" dT="2026-09-02T20:40:32.252" personId="{4C6A3BD9-D638-4DCD-BD86-43D823421281}" id="{A0B426F0-F403-03AA-D781-1807B6D766B7}">
    <xltc:text>Source S02. Audited long-term debt, approximately $8.519bn.</xltc:text>
  </xltc:threadedComment>
  <xltc:threadedComment ref="B24" dT="2026-09-02T20:40:32.255" personId="{4C6A3BD9-D638-4DCD-BD86-43D823421281}" id="{953CA1AC-C492-F9C8-A643-B2E9CB08753C}">
    <xltc:text>Source S02. Audited debt-service coverage, 1.64x.</xltc:text>
  </xltc:threadedComment>
  <xltc:threadedComment ref="C6" dT="2026-09-02T20:40:32.257" personId="{4C6A3BD9-D638-4DCD-BD86-43D823421281}" id="{A64535BF-DA33-0C12-DC21-84150D85E06E}">
    <xltc:text>Source S05. FY2025 toll revenue, ACFR p.46.</xltc:text>
  </xltc:threadedComment>
  <xltc:threadedComment ref="C7" dT="2026-09-02T20:40:32.26" personId="{4C6A3BD9-D638-4DCD-BD86-43D823421281}" id="{69B0DC25-0967-9ECA-9184-B7FAF682CC7D}">
    <xltc:text>Source S05. No other operating revenue in enterprise-fund operating statement.</xltc:text>
  </xltc:threadedComment>
  <xltc:threadedComment ref="C10" dT="2026-09-02T20:40:32.263" personId="{4C6A3BD9-D638-4DCD-BD86-43D823421281}" id="{D7C77685-B913-3C18-E6C6-879B7FC020C2}">
    <xltc:text>Source S05. Total operating expense less depreciation/amortization.</xltc:text>
  </xltc:threadedComment>
  <xltc:threadedComment ref="C14" dT="2026-09-02T20:40:32.265" personId="{4C6A3BD9-D638-4DCD-BD86-43D823421281}" id="{58F973EA-D43F-82F6-4C7E-04950B85A66A}">
    <xltc:text>Source S05. Depreciation and amortization, ACFR p.46.</xltc:text>
  </xltc:threadedComment>
  <xltc:threadedComment ref="C17" dT="2026-09-02T20:40:32.268" personId="{4C6A3BD9-D638-4DCD-BD86-43D823421281}" id="{E6C1A1F7-5D2E-D3F9-AF08-C569246706B3}">
    <xltc:text>Source S05. Investment earnings, ACFR p.46.</xltc:text>
  </xltc:threadedComment>
  <xltc:threadedComment ref="C18" dT="2026-09-02T20:40:32.271" personId="{4C6A3BD9-D638-4DCD-BD86-43D823421281}" id="{97B19D63-B7D8-9CD1-D517-4DB9CCE14A07}">
    <xltc:text>Source S05. Accounting interest expense, ACFR p.46.</xltc:text>
  </xltc:threadedComment>
  <xltc:threadedComment ref="C19" dT="2026-09-02T20:40:32.273" personId="{4C6A3BD9-D638-4DCD-BD86-43D823421281}" id="{43C272DA-58F4-BE49-8B32-100C970F0F39}">
    <xltc:text>Source S05. Calculated net of disclosed other nonoperating lines, excluding transfer.</xltc:text>
  </xltc:threadedComment>
  <xltc:threadedComment ref="C20" dT="2026-09-02T20:40:32.276" personId="{4C6A3BD9-D638-4DCD-BD86-43D823421281}" id="{2521105A-5C67-DAC2-0D03-0C5D457EE8C1}">
    <xltc:text>Source S05. Transfer to county mobility/thoroughfare program.</xltc:text>
  </xltc:threadedComment>
  <xltc:threadedComment ref="C21" dT="2026-09-02T20:40:32.279" personId="{4C6A3BD9-D638-4DCD-BD86-43D823421281}" id="{F31C03CB-1FB3-9317-1AC8-4861296FB2CC}">
    <xltc:text>Source S05. Change in net position.</xltc:text>
  </xltc:threadedComment>
  <xltc:threadedComment ref="C22" dT="2026-09-02T20:40:32.281" personId="{4C6A3BD9-D638-4DCD-BD86-43D823421281}" id="{FB2145B7-5ECA-CB94-E516-9B9A4D66A819}">
    <xltc:text>Source S05. Ending net position.</xltc:text>
  </xltc:threadedComment>
  <xltc:threadedComment ref="C23" dT="2026-09-02T20:40:32.284" personId="{4C6A3BD9-D638-4DCD-BD86-43D823421281}" id="{BFF46296-E0F2-B1BB-126B-A99C870E2C1A}">
    <xltc:text>Source S05. Outstanding bond principal, ACFR debt note.</xltc:text>
  </xltc:threadedComment>
  <xltc:threadedComment ref="C24" dT="2026-09-02T20:40:32.287" personId="{4C6A3BD9-D638-4DCD-BD86-43D823421281}" id="{80349A4D-5FB3-CD70-1CB4-8111CD402E94}">
    <xltc:text>Source S05. Bond-covenant calculation reported in ACFR narrative; statistical table uses a different definition.</xltc:text>
  </xltc:threadedComment>
  <xltc:threadedComment ref="D6" dT="2026-09-02T20:40:32.29" personId="{4C6A3BD9-D638-4DCD-BD86-43D823421281}" id="{00B64505-AA39-B4A0-4792-10D0E4D5F7CF}">
    <xltc:text>Source S10. Audited headline toll revenue, $276.4m.</xltc:text>
  </xltc:threadedComment>
  <xltc:threadedComment ref="D7" dT="2026-09-02T20:40:32.292" personId="{4C6A3BD9-D638-4DCD-BD86-43D823421281}" id="{595C5B89-B54B-4029-CA32-FAF42274A20B}">
    <xltc:text>Source S09. Final unaudited fee revenue.</xltc:text>
  </xltc:threadedComment>
  <xltc:threadedComment ref="D8" dT="2026-09-02T20:40:32.295" personId="{4C6A3BD9-D638-4DCD-BD86-43D823421281}" id="{A6F6FD71-511A-1C4D-3FF4-D68EED7BA973}">
    <xltc:text>Source S09. Final unaudited operating-revenue basis.</xltc:text>
  </xltc:threadedComment>
  <xltc:threadedComment ref="D10" dT="2026-09-02T20:40:32.297" personId="{4C6A3BD9-D638-4DCD-BD86-43D823421281}" id="{32F14558-B583-18D4-45FD-317E5AB4B69F}">
    <xltc:text>Source S09. Final unaudited total operating expense before D&amp;A.</xltc:text>
  </xltc:threadedComment>
  <xltc:threadedComment ref="D11" dT="2026-09-02T20:40:32.3" personId="{4C6A3BD9-D638-4DCD-BD86-43D823421281}" id="{07FA2AB2-7236-7200-4029-71E567AA8608}">
    <xltc:text>Source S09. Processing and collection expense.</xltc:text>
  </xltc:threadedComment>
  <xltc:threadedComment ref="D12" dT="2026-09-02T20:40:32.304" personId="{4C6A3BD9-D638-4DCD-BD86-43D823421281}" id="{1C0AAB68-460A-6E06-D753-41BDF3BB2996}">
    <xltc:text>Source S09. Roadway operations and maintenance.</xltc:text>
  </xltc:threadedComment>
  <xltc:threadedComment ref="D13" dT="2026-09-02T20:40:32.306" personId="{4C6A3BD9-D638-4DCD-BD86-43D823421281}" id="{E04C5B33-F20E-164F-9031-C5562601B86B}">
    <xltc:text>Source S09. Salary + administration + toll operations + consulting + contingencies.</xltc:text>
  </xltc:threadedComment>
  <xltc:threadedComment ref="D14" dT="2026-09-02T20:40:32.309" personId="{4C6A3BD9-D638-4DCD-BD86-43D823421281}" id="{53F2EE58-39B0-DE26-477B-C7B1A8A28A4E}">
    <xltc:text>Source S09. Amortization plus depreciation.</xltc:text>
  </xltc:threadedComment>
  <xltc:threadedComment ref="D17" dT="2026-09-02T20:40:32.312" personId="{4C6A3BD9-D638-4DCD-BD86-43D823421281}" id="{B8214AAB-7B2A-D87A-79C0-133A685EC54A}">
    <xltc:text>Source S09. Interest income.</xltc:text>
  </xltc:threadedComment>
  <xltc:threadedComment ref="D18" dT="2026-09-02T20:40:32.316" personId="{4C6A3BD9-D638-4DCD-BD86-43D823421281}" id="{5D2CDD8C-D7DD-24B0-3C09-BF0246AF24C8}">
    <xltc:text>Source S09. Interest expense — debt obligations.</xltc:text>
  </xltc:threadedComment>
  <xltc:threadedComment ref="D20" dT="2026-09-02T20:40:32.319" personId="{4C6A3BD9-D638-4DCD-BD86-43D823421281}" id="{6282078F-C3F8-50E4-F04E-D19AC2DA38B0}">
    <xltc:text>Source S09. CAMPO Regional Infrastructure Fund payment.</xltc:text>
  </xltc:threadedComment>
  <xltc:threadedComment ref="D21" dT="2026-09-02T20:40:32.322" personId="{4C6A3BD9-D638-4DCD-BD86-43D823421281}" id="{6AB0E958-FFEB-9B08-CBAA-FD012D9BA050}">
    <xltc:text>Source S09. Reported final monthly net income; not substituted for audited change in net position.</xltc:text>
  </xltc:threadedComment>
  <xltc:threadedComment ref="D23" dT="2026-09-02T20:40:32.325" personId="{4C6A3BD9-D638-4DCD-BD86-43D823421281}" id="{9DC5E38D-9219-9313-1301-4A32809E255C}">
    <xltc:text>Source S10. Audited debt principal, approximately $2.448bn.</xltc:text>
  </xltc:threadedComment>
  <xltc:threadedComment ref="D24" dT="2026-09-02T20:40:32.328" personId="{4C6A3BD9-D638-4DCD-BD86-43D823421281}" id="{BD7FB740-7329-D9E5-D701-80D078E6FC19}">
    <xltc:text>Source S10. Audited system debt-service coverage, 2.28x.</xltc:text>
  </xltc:threadedComment>
  <xltc:threadedComment ref="E6" dT="2026-09-02T20:40:32.332" personId="{4C6A3BD9-D638-4DCD-BD86-43D823421281}" id="{F27351FA-5A7A-0DB4-E9DC-5F05895A142E}">
    <xltc:text>Source S11. CTTS operating revenue.</xltc:text>
  </xltc:threadedComment>
  <xltc:threadedComment ref="E8" dT="2026-09-02T20:40:32.335" personId="{4C6A3BD9-D638-4DCD-BD86-43D823421281}" id="{86A4FA1F-54A6-7EC4-F7B5-2FD2658BC7AF}">
    <xltc:text>Source S11. CTTS operating revenue used as recurring-obligation denominator.</xltc:text>
  </xltc:threadedComment>
  <xltc:threadedComment ref="E10" dT="2026-09-02T20:40:32.338" personId="{4C6A3BD9-D638-4DCD-BD86-43D823421281}" id="{F3961331-67BD-171E-0360-6D0CBB8B2427}">
    <xltc:text>Source S11. CTTS operating expense excluding separately disclosed repairs/maintenance.</xltc:text>
  </xltc:threadedComment>
  <xltc:threadedComment ref="E12" dT="2026-09-02T20:40:32.341" personId="{4C6A3BD9-D638-4DCD-BD86-43D823421281}" id="{3312A450-511A-359E-C6F8-B34CC18D19C5}">
    <xltc:text>Source S11. CTTS repairs and maintenance.</xltc:text>
  </xltc:threadedComment>
  <xltc:threadedComment ref="F6" dT="2026-09-02T20:40:32.344" personId="{4C6A3BD9-D638-4DCD-BD86-43D823421281}" id="{D06299C9-9892-78D5-3693-A56EA921CA91}">
    <xltc:text>Source S11. Grand Parkway operating revenue.</xltc:text>
  </xltc:threadedComment>
  <xltc:threadedComment ref="F8" dT="2026-09-02T20:40:32.349" personId="{4C6A3BD9-D638-4DCD-BD86-43D823421281}" id="{BC441707-2748-8B5D-8A51-C553E6A5DCC1}">
    <xltc:text>Source S11. Grand Parkway operating revenue used as recurring-obligation denominator.</xltc:text>
  </xltc:threadedComment>
  <xltc:threadedComment ref="F10" dT="2026-09-02T20:40:32.353" personId="{4C6A3BD9-D638-4DCD-BD86-43D823421281}" id="{82D3234D-0BB2-17DF-3CC0-91316A6E3755}">
    <xltc:text>Source S11. Grand Parkway operating expense.</xltc:text>
  </xltc:threadedComment>
  <xltc:threadedComment ref="F12" dT="2026-09-02T20:40:32.357" personId="{4C6A3BD9-D638-4DCD-BD86-43D823421281}" id="{E9D87E41-8906-3BF1-1AE0-BC5397A7CD11}">
    <xltc:text>Source S11. Grand Parkway repairs and maintenance.</xltc:text>
  </xltc:threadedComment>
  <xltc:threadedComment ref="G6" dT="2026-09-02T20:40:32.36" personId="{4C6A3BD9-D638-4DCD-BD86-43D823421281}" id="{9E9B7EA0-66E5-1710-A1B1-52EB77202643}">
    <xltc:text>Source S25. FY2025 toll revenue.</xltc:text>
  </xltc:threadedComment>
  <xltc:threadedComment ref="G10" dT="2026-09-02T20:40:32.364" personId="{4C6A3BD9-D638-4DCD-BD86-43D823421281}" id="{7269FBDF-CEF3-7C7A-BEE9-AAD51CB53678}">
    <xltc:text>Source S25. Operating cash-like expenses before depreciation.</xltc:text>
  </xltc:threadedComment>
  <xltc:threadedComment ref="G11" dT="2026-09-02T20:40:32.367" personId="{4C6A3BD9-D638-4DCD-BD86-43D823421281}" id="{5C8AA3B3-0E75-0B5D-624A-534C965A78BD}">
    <xltc:text>Source S25. Collection expense.</xltc:text>
  </xltc:threadedComment>
  <xltc:threadedComment ref="G12" dT="2026-09-02T20:40:32.371" personId="{4C6A3BD9-D638-4DCD-BD86-43D823421281}" id="{C2619BAE-99E9-E1A3-8E8A-ADEA1332D93A}">
    <xltc:text>Source S25. Maintenance expense.</xltc:text>
  </xltc:threadedComment>
  <xltc:threadedComment ref="G13" dT="2026-09-02T20:40:32.374" personId="{4C6A3BD9-D638-4DCD-BD86-43D823421281}" id="{25493E47-013E-DB1F-3A42-B7971D653ECB}">
    <xltc:text>Source S25. Personnel, professional, law enforcement, travel and utilities.</xltc:text>
  </xltc:threadedComment>
  <xltc:threadedComment ref="G14" dT="2026-09-02T20:40:32.376" personId="{4C6A3BD9-D638-4DCD-BD86-43D823421281}" id="{64578AC7-AEDF-A4C0-9BF2-ECE93EE01453}">
    <xltc:text>Source S25. Depreciation.</xltc:text>
  </xltc:threadedComment>
  <xltc:threadedComment ref="G17" dT="2026-09-02T20:40:32.38" personId="{4C6A3BD9-D638-4DCD-BD86-43D823421281}" id="{17799279-7163-E014-97E0-EE4132F4A930}">
    <xltc:text>Source S25. Investment income.</xltc:text>
  </xltc:threadedComment>
  <xltc:threadedComment ref="G18" dT="2026-09-02T20:40:32.385" personId="{4C6A3BD9-D638-4DCD-BD86-43D823421281}" id="{7A036169-C1A8-AD78-DBC9-2C20A718B709}">
    <xltc:text>Source S25. Interest and fiscal charges.</xltc:text>
  </xltc:threadedComment>
  <xltc:threadedComment ref="G19" dT="2026-09-02T20:40:32.388" personId="{4C6A3BD9-D638-4DCD-BD86-43D823421281}" id="{17705827-ABBC-531D-09DC-13C1864E7EF2}">
    <xltc:text>Source S25. Debt-issuance expense shown as other nonoperating item.</xltc:text>
  </xltc:threadedComment>
  <xltc:threadedComment ref="G21" dT="2026-09-02T20:40:32.391" personId="{4C6A3BD9-D638-4DCD-BD86-43D823421281}" id="{86386B0C-2DAE-1921-B6C7-836BEA3D0D01}">
    <xltc:text>Source S25. Change in net position.</xltc:text>
  </xltc:threadedComment>
  <xltc:threadedComment ref="G22" dT="2026-09-02T20:40:32.396" personId="{4C6A3BD9-D638-4DCD-BD86-43D823421281}" id="{D699A588-CB20-374B-FA33-300298ADE08B}">
    <xltc:text>Source S25. Ending net position.</xltc:text>
  </xltc:threadedComment>
  <xltc:threadedComment ref="G23" dT="2026-09-02T20:40:32.399" personId="{4C6A3BD9-D638-4DCD-BD86-43D823421281}" id="{745A15A0-4E69-D80D-019B-9E44883D4708}">
    <xltc:text>Source S25. Bond principal outstanding.</xltc:text>
  </xltc:threadedComment>
  <xltc:threadedComment ref="H6" dT="2026-09-02T20:40:32.402" personId="{4C6A3BD9-D638-4DCD-BD86-43D823421281}" id="{5C0ED84B-031C-AE98-AA25-3580E4289A38}">
    <xltc:text>Source S26. Rounded FY2025 toll revenue; exact page-level capture should be refreshed before publication use.</xltc:text>
  </xltc:threadedComment>
  <xltc:threadedComment ref="H15" dT="2026-09-02T20:40:32.405" personId="{4C6A3BD9-D638-4DCD-BD86-43D823421281}" id="{98CDE7A1-2D09-55F6-E297-3D41A1A5FD19}">
    <xltc:text>Source S26. Total operating expense captured from FY2025 report; decomposition unavailable.</xltc:text>
  </xltc:threadedComment>
  <xltc:threadedComment ref="H23" dT="2026-09-02T20:40:32.408" personId="{4C6A3BD9-D638-4DCD-BD86-43D823421281}" id="{4A6D16C4-27E1-AE43-27A0-8760F65F3F7B}">
    <xltc:text>Source S26. Debt principal outstanding.</xltc:text>
  </xltc:threadedComment>
</xltc:ThreadedComments>
</file>

<file path=xl/threadedcomments/threadedcomment3.xml><?xml version="1.0" encoding="utf-8"?>
<xltc:ThreadedComments xmlns:xltc="http://schemas.microsoft.com/office/spreadsheetml/2018/threadedcomments">
  <xltc:threadedComment ref="B7" dT="2026-09-02T20:41:17.446" personId="{4C6A3BD9-D638-4DCD-BD86-43D823421281}" id="{81D6204F-B852-21B0-EE55-840BDA1C07FA}">
    <xltc:text>Source S03. Customer receipts.</xltc:text>
  </xltc:threadedComment>
  <xltc:threadedComment ref="B8" dT="2026-09-02T20:41:17.449" personId="{4C6A3BD9-D638-4DCD-BD86-43D823421281}" id="{2827C3E2-D531-DA9C-36EA-AF9B224F98BE}">
    <xltc:text>Source S03. Legal-settlement and other receipts.</xltc:text>
  </xltc:threadedComment>
  <xltc:threadedComment ref="B10" dT="2026-09-02T20:41:17.452" personId="{4C6A3BD9-D638-4DCD-BD86-43D823421281}" id="{A425B155-B0E1-4F74-1A12-18287E271766}">
    <xltc:text>Source S03. Capital contribution / BAB subsidy.</xltc:text>
  </xltc:threadedComment>
  <xltc:threadedComment ref="B11" dT="2026-09-02T20:41:17.455" personId="{4C6A3BD9-D638-4DCD-BD86-43D823421281}" id="{8443C9DA-BDC2-3E42-CDB0-C6EF69F02B84}">
    <xltc:text>Source S03. Refunding bond proceeds.</xltc:text>
  </xltc:threadedComment>
  <xltc:threadedComment ref="B15" dT="2026-09-02T20:41:17.458" personId="{4C6A3BD9-D638-4DCD-BD86-43D823421281}" id="{8A897B9A-BD08-2E38-31DA-11E7F964EADD}">
    <xltc:text>Source S03. Cash paid to employees.</xltc:text>
  </xltc:threadedComment>
  <xltc:threadedComment ref="B16" dT="2026-09-02T20:41:17.46" personId="{4C6A3BD9-D638-4DCD-BD86-43D823421281}" id="{907AF219-4DB5-272D-282B-BC1F0C3BA3B1}">
    <xltc:text>Source S03. Cash paid to contractors and suppliers.</xltc:text>
  </xltc:threadedComment>
  <xltc:threadedComment ref="B17" dT="2026-09-02T20:41:17.463" personId="{4C6A3BD9-D638-4DCD-BD86-43D823421281}" id="{3799ADD2-03CD-3CFE-67A6-65A8B2464FA4}">
    <xltc:text>Source S03. Principal paid.</xltc:text>
  </xltc:threadedComment>
  <xltc:threadedComment ref="B18" dT="2026-09-02T20:41:17.465" personId="{4C6A3BD9-D638-4DCD-BD86-43D823421281}" id="{839D367B-BAFC-A541-FB47-090CDB51CAE7}">
    <xltc:text>Source S03. Cash interest paid.</xltc:text>
  </xltc:threadedComment>
  <xltc:threadedComment ref="B20" dT="2026-09-02T20:41:17.468" personId="{4C6A3BD9-D638-4DCD-BD86-43D823421281}" id="{76A06D43-D40D-B112-1748-57A18BCB48FF}">
    <xltc:text>Source S03. Capital asset purchases.</xltc:text>
  </xltc:threadedComment>
  <xltc:threadedComment ref="B22" dT="2026-09-02T20:41:17.471" personId="{4C6A3BD9-D638-4DCD-BD86-43D823421281}" id="{983B8D5E-FC02-55C6-8120-A31B502579C8}">
    <xltc:text>Source S03. Refunding escrow deposit.</xltc:text>
  </xltc:threadedComment>
  <xltc:threadedComment ref="B23" dT="2026-09-02T20:41:17.474" personId="{4C6A3BD9-D638-4DCD-BD86-43D823421281}" id="{EC04E5C8-418F-AC55-FF09-CA4B5B358212}">
    <xltc:text>Source S03. Residual = gross Trust revenue less net O&amp;M less net debt service.</xltc:text>
  </xltc:threadedComment>
  <xltc:threadedComment ref="B24" dT="2026-09-02T20:41:17.476" personId="{4C6A3BD9-D638-4DCD-BD86-43D823421281}" id="{81F9D2A6-8A39-5B38-2C95-E16587E85E29}">
    <xltc:text>Source S03. Ending cash.</xltc:text>
  </xltc:threadedComment>
  <xltc:threadedComment ref="C6" dT="2026-09-02T20:41:17.479" personId="{4C6A3BD9-D638-4DCD-BD86-43D823421281}" id="{5873B3B2-4080-5854-B8CE-894237932611}">
    <xltc:text>Source S05. Beginning cash/equivalents, ACFR p.47.</xltc:text>
  </xltc:threadedComment>
  <xltc:threadedComment ref="C7" dT="2026-09-02T20:41:17.482" personId="{4C6A3BD9-D638-4DCD-BD86-43D823421281}" id="{6AB0127D-DB2A-4E70-C34D-E015E580B9C5}">
    <xltc:text>Source S05. Receipts from customers.</xltc:text>
  </xltc:threadedComment>
  <xltc:threadedComment ref="C8" dT="2026-09-02T20:41:17.484" personId="{4C6A3BD9-D638-4DCD-BD86-43D823421281}" id="{006022A5-568C-9FF0-093B-F831275E44A5}">
    <xltc:text>Source S05. Miscellaneous reimbursements plus receipts from other governments.</xltc:text>
  </xltc:threadedComment>
  <xltc:threadedComment ref="C9" dT="2026-09-02T20:41:17.487" personId="{4C6A3BD9-D638-4DCD-BD86-43D823421281}" id="{D764A14D-4F45-68EF-6F56-C4DD855191F4}">
    <xltc:text>Source S05. Cash investment interest.</xltc:text>
  </xltc:threadedComment>
  <xltc:threadedComment ref="C11" dT="2026-09-02T20:41:17.491" personId="{4C6A3BD9-D638-4DCD-BD86-43D823421281}" id="{68AE99B5-831A-71E9-D38B-3B7E638E2EEC}">
    <xltc:text>Source S05. Commercial-paper proceeds.</xltc:text>
  </xltc:threadedComment>
  <xltc:threadedComment ref="C13" dT="2026-09-02T20:41:17.494" personId="{4C6A3BD9-D638-4DCD-BD86-43D823421281}" id="{CF4F35D2-E055-3476-1F8B-C6E094EFAA91}">
    <xltc:text>Source S05. Investment sales and maturities.</xltc:text>
  </xltc:threadedComment>
  <xltc:threadedComment ref="C15" dT="2026-09-02T20:41:17.497" personId="{4C6A3BD9-D638-4DCD-BD86-43D823421281}" id="{864C5772-B23A-CDF5-65BE-511015B118AC}">
    <xltc:text>Source S05. Employee payments.</xltc:text>
  </xltc:threadedComment>
  <xltc:threadedComment ref="C16" dT="2026-09-02T20:41:17.499" personId="{4C6A3BD9-D638-4DCD-BD86-43D823421281}" id="{67A12059-A175-5BC9-448D-8A56A3059D5F}">
    <xltc:text>Source S05. Vendor payments.</xltc:text>
  </xltc:threadedComment>
  <xltc:threadedComment ref="C17" dT="2026-09-02T20:41:17.502" personId="{4C6A3BD9-D638-4DCD-BD86-43D823421281}" id="{E8EA2EB3-EE6B-629B-0907-F0857EE4D2BC}">
    <xltc:text>Source S05. Bond principal paid.</xltc:text>
  </xltc:threadedComment>
  <xltc:threadedComment ref="C18" dT="2026-09-02T20:41:17.506" personId="{4C6A3BD9-D638-4DCD-BD86-43D823421281}" id="{FF4A8DB4-174A-B569-5083-EB380ED05307}">
    <xltc:text>Source S05. Cash interest paid.</xltc:text>
  </xltc:threadedComment>
  <xltc:threadedComment ref="C19" dT="2026-09-02T20:41:17.51" personId="{4C6A3BD9-D638-4DCD-BD86-43D823421281}" id="{1EB144E2-E6BB-69D1-E3A4-EF4ED7816817}">
    <xltc:text>Source S05. CP repayment + lease/subscription principal + bond fees.</xltc:text>
  </xltc:threadedComment>
  <xltc:threadedComment ref="C20" dT="2026-09-02T20:41:17.513" personId="{4C6A3BD9-D638-4DCD-BD86-43D823421281}" id="{F4EFC14C-99A0-00A2-9741-DCD71AA98B95}">
    <xltc:text>Source S05. Capital asset purchases.</xltc:text>
  </xltc:threadedComment>
  <xltc:threadedComment ref="C21" dT="2026-09-02T20:41:17.515" personId="{4C6A3BD9-D638-4DCD-BD86-43D823421281}" id="{B5E3D56D-C5C5-9524-B22E-021C2B78FAB4}">
    <xltc:text>Source S05. Transfer to mobility/thoroughfare program.</xltc:text>
  </xltc:threadedComment>
  <xltc:threadedComment ref="C22" dT="2026-09-02T20:41:17.518" personId="{4C6A3BD9-D638-4DCD-BD86-43D823421281}" id="{0024F2FD-663F-ABE2-6E76-F755D2D53592}">
    <xltc:text>Source S05. Investment purchases.</xltc:text>
  </xltc:threadedComment>
  <xltc:threadedComment ref="C24" dT="2026-09-02T20:41:17.522" personId="{4C6A3BD9-D638-4DCD-BD86-43D823421281}" id="{C4B76F13-6047-C4FF-014D-ADDAECDBCAAB}">
    <xltc:text>Source S05. Ending cash/equivalents.</xltc:text>
  </xltc:threadedComment>
  <xltc:threadedComment ref="D7" dT="2026-09-02T20:41:17.525" personId="{4C6A3BD9-D638-4DCD-BD86-43D823421281}" id="{771AD747-097C-0EF2-0052-ED6978CD0C5B}">
    <xltc:text>Source S09. Toll receipts.</xltc:text>
  </xltc:threadedComment>
  <xltc:threadedComment ref="D8" dT="2026-09-02T20:41:17.528" personId="{4C6A3BD9-D638-4DCD-BD86-43D823421281}" id="{77E419DD-C62D-0588-B75F-8D96ABEEF168}">
    <xltc:text>Source S09. Other receipts.</xltc:text>
  </xltc:threadedComment>
  <xltc:threadedComment ref="D9" dT="2026-09-02T20:41:17.53" personId="{4C6A3BD9-D638-4DCD-BD86-43D823421281}" id="{F20FF2E9-A2C0-7B00-A4BF-DD0A06538CE6}">
    <xltc:text>Source S09. Investment-interest receipts.</xltc:text>
  </xltc:threadedComment>
  <xltc:threadedComment ref="D13" dT="2026-09-02T20:41:17.533" personId="{4C6A3BD9-D638-4DCD-BD86-43D823421281}" id="{843A15E6-4738-8059-9D3C-5AAAE2066B48}">
    <xltc:text>Source S09. Investment line as presented; sign classification unresolved.</xltc:text>
  </xltc:threadedComment>
  <xltc:threadedComment ref="D15" dT="2026-09-02T20:41:17.536" personId="{4C6A3BD9-D638-4DCD-BD86-43D823421281}" id="{04CF680D-3D1B-5BE2-7252-1D0F1DCD27C8}">
    <xltc:text>Source S09. Payments to employees.</xltc:text>
  </xltc:threadedComment>
  <xltc:threadedComment ref="D16" dT="2026-09-02T20:41:17.539" personId="{4C6A3BD9-D638-4DCD-BD86-43D823421281}" id="{3BDC0FD3-169B-18A1-2D7C-4013277D3A28}">
    <xltc:text>Source S09. Payments to vendors.</xltc:text>
  </xltc:threadedComment>
  <xltc:threadedComment ref="D17" dT="2026-09-02T20:41:17.542" personId="{4C6A3BD9-D638-4DCD-BD86-43D823421281}" id="{EC964973-1A68-FB44-EF0A-CBE4767ECB46}">
    <xltc:text>Source S09. Principal/loan payments.</xltc:text>
  </xltc:threadedComment>
  <xltc:threadedComment ref="D18" dT="2026-09-02T20:41:17.545" personId="{4C6A3BD9-D638-4DCD-BD86-43D823421281}" id="{1C0E29BC-1D8D-0B12-27E3-AECC34503B73}">
    <xltc:text>Source S09. Cash interest.</xltc:text>
  </xltc:threadedComment>
  <xltc:threadedComment ref="D19" dT="2026-09-02T20:41:17.548" personId="{4C6A3BD9-D638-4DCD-BD86-43D823421281}" id="{D08E2E92-3AE0-10D8-5A3E-A6618D0DFBC8}">
    <xltc:text>Source S09. CAMPO RIF payment.</xltc:text>
  </xltc:threadedComment>
  <xltc:threadedComment ref="D20" dT="2026-09-02T20:41:17.551" personId="{4C6A3BD9-D638-4DCD-BD86-43D823421281}" id="{8E7AA707-F044-580D-5AF9-C47D667E82B3}">
    <xltc:text>Source S09. Nonproject capital plus intangible assets; excludes unresolved CIP sign.</xltc:text>
  </xltc:threadedComment>
  <xltc:threadedComment ref="D21" dT="2026-09-02T20:41:17.554" personId="{4C6A3BD9-D638-4DCD-BD86-43D823421281}" id="{64A5BAF0-88B6-5CC4-E1C6-7E9C948D1B2B}">
    <xltc:text>Source S09. CAMPO RIF payment shown as external transfer.</xltc:text>
  </xltc:threadedComment>
  <xltc:threadedComment ref="D24" dT="2026-09-02T20:41:17.557" personId="{4C6A3BD9-D638-4DCD-BD86-43D823421281}" id="{BC7BB376-33B8-BC12-4C04-A3F794C12878}">
    <xltc:text>Source S09. Ending cash.</xltc:text>
  </xltc:threadedComment>
  <xltc:threadedComment ref="E16" dT="2026-09-02T20:41:17.56" personId="{4C6A3BD9-D638-4DCD-BD86-43D823421281}" id="{6A8508E2-26CB-98AA-C84F-822144933035}">
    <xltc:text>Source S11. CTTS operating expense.</xltc:text>
  </xltc:threadedComment>
  <xltc:threadedComment ref="E18" dT="2026-09-02T20:41:17.563" personId="{4C6A3BD9-D638-4DCD-BD86-43D823421281}" id="{0CDA5FA5-BC65-FD3C-47B5-C9F53DEEB575}">
    <xltc:text>Source S11. CTTS debt service.</xltc:text>
  </xltc:threadedComment>
  <xltc:threadedComment ref="E23" dT="2026-09-02T20:41:17.566" personId="{4C6A3BD9-D638-4DCD-BD86-43D823421281}" id="{8F33D54C-D2F1-47E1-40BD-86EFCEFC5B80}">
    <xltc:text>Source S11. CTTS residual reserve.</xltc:text>
  </xltc:threadedComment>
  <xltc:threadedComment ref="F16" dT="2026-09-02T20:41:17.57" personId="{4C6A3BD9-D638-4DCD-BD86-43D823421281}" id="{0B33E221-8859-4E2C-5272-0D050137BCE3}">
    <xltc:text>Source S11. Grand Parkway operating expense.</xltc:text>
  </xltc:threadedComment>
  <xltc:threadedComment ref="F18" dT="2026-09-02T20:41:17.573" personId="{4C6A3BD9-D638-4DCD-BD86-43D823421281}" id="{B291A733-42C2-082A-D315-DFD8A9B7D0F2}">
    <xltc:text>Source S11. Grand Parkway debt service.</xltc:text>
  </xltc:threadedComment>
  <xltc:threadedComment ref="F23" dT="2026-09-02T20:41:17.576" personId="{4C6A3BD9-D638-4DCD-BD86-43D823421281}" id="{DF358362-20D4-BAF7-9663-49F715DE5D96}">
    <xltc:text>Source S11. Grand Parkway residual reserve.</xltc:text>
  </xltc:threadedComment>
</xltc:ThreadedComments>
</file>

<file path=xl/threadedcomments/threadedcomment4.xml><?xml version="1.0" encoding="utf-8"?>
<xltc:ThreadedComments xmlns:xltc="http://schemas.microsoft.com/office/spreadsheetml/2018/threadedcomments">
  <xltc:threadedComment ref="B6" dT="2026-09-02T20:42:36.355" personId="{4C6A3BD9-D638-4DCD-BD86-43D823421281}" id="{FF1E3BD7-238B-F23C-A866-ACB2DC8A51F0}">
    <xltc:text>Source S03. Gross Trust revenue.</xltc:text>
  </xltc:threadedComment>
  <xltc:threadedComment ref="C6" dT="2026-09-02T20:42:36.359" personId="{4C6A3BD9-D638-4DCD-BD86-43D823421281}" id="{2D39A739-92E4-F81D-9815-268EA027FAAB}">
    <xltc:text>Source S03. Net O&amp;M.</xltc:text>
  </xltc:threadedComment>
  <xltc:threadedComment ref="E6" dT="2026-09-02T20:42:36.364" personId="{4C6A3BD9-D638-4DCD-BD86-43D823421281}" id="{F5E15B4E-2A91-36C1-3798-6B97E1B588E2}">
    <xltc:text>Source S03. Net debt service.</xltc:text>
  </xltc:threadedComment>
  <xltc:threadedComment ref="G6" dT="2026-09-02T20:42:36.367" personId="{4C6A3BD9-D638-4DCD-BD86-43D823421281}" id="{5F4F4FC7-716E-6228-CE69-8E91FB45FF26}">
    <xltc:text>Source S03. Residual formula amount.</xltc:text>
  </xltc:threadedComment>
  <xltc:threadedComment ref="B7" dT="2026-09-02T20:42:36.37" personId="{4C6A3BD9-D638-4DCD-BD86-43D823421281}" id="{56AD7BE9-A344-2E39-5997-79C261ED7CAF}">
    <xltc:text>Source S11. CTTS operating revenue.</xltc:text>
  </xltc:threadedComment>
  <xltc:threadedComment ref="C7" dT="2026-09-02T20:42:36.374" personId="{4C6A3BD9-D638-4DCD-BD86-43D823421281}" id="{D7554E84-113C-2D3C-1587-CB3F6E39F751}">
    <xltc:text>Source S11. CTTS operating expense.</xltc:text>
  </xltc:threadedComment>
  <xltc:threadedComment ref="D7" dT="2026-09-02T20:42:36.377" personId="{4C6A3BD9-D638-4DCD-BD86-43D823421281}" id="{CA33B263-459D-55D5-1ACC-4EC677B70F6A}">
    <xltc:text>Source S11. CTTS repairs and maintenance.</xltc:text>
  </xltc:threadedComment>
  <xltc:threadedComment ref="E7" dT="2026-09-02T20:42:36.38" personId="{4C6A3BD9-D638-4DCD-BD86-43D823421281}" id="{48B1CAC9-F6B0-0E18-35D0-B4C62FF9F8FC}">
    <xltc:text>Source S11. CTTS debt service.</xltc:text>
  </xltc:threadedComment>
  <xltc:threadedComment ref="G7" dT="2026-09-02T20:42:36.383" personId="{4C6A3BD9-D638-4DCD-BD86-43D823421281}" id="{9E1C3437-9B80-DAEE-1DAF-9C3A5475FC8B}">
    <xltc:text>Source S11. CTTS reserve residual.</xltc:text>
  </xltc:threadedComment>
  <xltc:threadedComment ref="B8" dT="2026-09-02T20:42:36.387" personId="{4C6A3BD9-D638-4DCD-BD86-43D823421281}" id="{CC4974CD-E64D-2BAB-0D47-AFD25AC8469D}">
    <xltc:text>Source S11. Grand Parkway operating revenue.</xltc:text>
  </xltc:threadedComment>
  <xltc:threadedComment ref="C8" dT="2026-09-02T20:42:36.39" personId="{4C6A3BD9-D638-4DCD-BD86-43D823421281}" id="{302C8388-5F5F-183A-F3DF-57EC6BF2F349}">
    <xltc:text>Source S11. Grand Parkway operating expense.</xltc:text>
  </xltc:threadedComment>
  <xltc:threadedComment ref="D8" dT="2026-09-02T20:42:36.392" personId="{4C6A3BD9-D638-4DCD-BD86-43D823421281}" id="{E29EB0ED-6595-4256-0246-22BC09530DA9}">
    <xltc:text>Source S11. Grand Parkway repairs and maintenance.</xltc:text>
  </xltc:threadedComment>
  <xltc:threadedComment ref="E8" dT="2026-09-02T20:42:36.396" personId="{4C6A3BD9-D638-4DCD-BD86-43D823421281}" id="{C35DE411-7516-CCF9-45D6-F17F040C4AE1}">
    <xltc:text>Source S11. Grand Parkway debt service.</xltc:text>
  </xltc:threadedComment>
  <xltc:threadedComment ref="G8" dT="2026-09-02T20:42:36.399" personId="{4C6A3BD9-D638-4DCD-BD86-43D823421281}" id="{9D9CC114-2381-A417-274A-6FBA79317B39}">
    <xltc:text>Source S11. Grand Parkway reserve residual.</xltc:text>
  </xltc:threadedComment>
</xltc:ThreadedComments>
</file>

<file path=xl/threadedcomments/threadedcomment5.xml><?xml version="1.0" encoding="utf-8"?>
<xltc:ThreadedComments xmlns:xltc="http://schemas.microsoft.com/office/spreadsheetml/2018/threadedcomments">
  <xltc:threadedComment ref="D5" dT="2026-09-02T20:43:35.944" personId="{4C6A3BD9-D638-4DCD-BD86-43D823421281}" id="{2F375EAB-3975-79BF-1515-626B50548E2F}">
    <xltc:text>Source S05. HCTRA toll revenue for FY2021; source units converted to $mm.</xltc:text>
  </xltc:threadedComment>
  <xltc:threadedComment ref="D6" dT="2026-09-02T20:43:35.948" personId="{4C6A3BD9-D638-4DCD-BD86-43D823421281}" id="{02473EC4-1C8F-BF98-A2C6-61792B769780}">
    <xltc:text>Source S05. HCTRA toll revenue for FY2022; source units converted to $mm.</xltc:text>
  </xltc:threadedComment>
  <xltc:threadedComment ref="D7" dT="2026-09-02T20:43:35.951" personId="{4C6A3BD9-D638-4DCD-BD86-43D823421281}" id="{AD50B0F3-D3E9-C11A-5F6B-C706365A4C18}">
    <xltc:text>Source S05. HCTRA toll revenue for Transition period; source units converted to $mm.</xltc:text>
  </xltc:threadedComment>
  <xltc:threadedComment ref="D8" dT="2026-09-02T20:43:35.955" personId="{4C6A3BD9-D638-4DCD-BD86-43D823421281}" id="{3BA287B4-FD37-5801-C9C6-C32416AE5693}">
    <xltc:text>Source S05. HCTRA toll revenue for FY2023; source units converted to $mm.</xltc:text>
  </xltc:threadedComment>
  <xltc:threadedComment ref="D9" dT="2026-09-02T20:43:35.958" personId="{4C6A3BD9-D638-4DCD-BD86-43D823421281}" id="{419A7EA8-5EC1-2B31-C7BF-4997CB07BFE1}">
    <xltc:text>Source S05. HCTRA toll revenue for FY2024; source units converted to $mm.</xltc:text>
  </xltc:threadedComment>
  <xltc:threadedComment ref="D10" dT="2026-09-02T20:43:35.961" personId="{4C6A3BD9-D638-4DCD-BD86-43D823421281}" id="{08AFADE3-89ED-2DF7-57C8-13C55D599F9C}">
    <xltc:text>Source S05. HCTRA toll revenue for FY2025; source units converted to $mm.</xltc:text>
  </xltc:threadedComment>
</xltc:ThreadedComments>
</file>

<file path=xl/threadedcomments/threadedcomment6.xml><?xml version="1.0" encoding="utf-8"?>
<xltc:ThreadedComments xmlns:xltc="http://schemas.microsoft.com/office/spreadsheetml/2018/threadedcomments">
  <xltc:threadedComment ref="H12" dT="2026-09-02T20:46:53.268" personId="{4C6A3BD9-D638-4DCD-BD86-43D823421281}" id="{2E3ED567-5E8F-603C-8038-069DF77EF6B2}">
    <xltc:text>Source S17. Ferrovial reports a combined DFW revenue total of $935m; rounded project figures sum to the same.</xltc:text>
  </xltc:threadedComment>
  <xltc:threadedComment ref="I12" dT="2026-09-02T20:46:53.277" personId="{4C6A3BD9-D638-4DCD-BD86-43D823421281}" id="{C10346FF-C915-5BDC-4035-E3E55ECE057D}">
    <xltc:text>Source S17. Ferrovial reports combined DFW EBITDA of $776m; displayed project figures sum to $774m because of rounding/aggregation.</xltc:text>
  </xltc:threadedComment>
  <xltc:threadedComment ref="J12" dT="2026-09-02T20:46:53.281" personId="{4C6A3BD9-D638-4DCD-BD86-43D823421281}" id="{C19AAF3A-4CAF-01B4-52D0-9F08A8EE85A4}">
    <xltc:text>Source S17. Ferrovial reports combined DFW dividends of $553m; displayed project figures sum to $554m because of rounding/aggregation.</xltc:text>
  </xltc:threadedComment>
</xltc:ThreadedComments>
</file>

<file path=xl/worksheets/_rels/sheet3.xml.rels>&#65279;<?xml version="1.0" encoding="utf-8"?><Relationships xmlns="http://schemas.openxmlformats.org/package/2006/relationships"><Relationship Type="http://schemas.openxmlformats.org/officeDocument/2006/relationships/comments" Target="/xl/comments1.xml" Id="Rd1f8d6209bc848b6" /><Relationship Type="http://schemas.openxmlformats.org/officeDocument/2006/relationships/vmlDrawing" Target="/xl/drawings/vmldrawing.vml" Id="R119426ddf17b44ad" /><Relationship Type="http://schemas.microsoft.com/office/2017/10/relationships/threadedComment" Target="/xl/threadedcomments/threadedcomment.xml" Id="Rbe625477382a494a" /></Relationships>
</file>

<file path=xl/worksheets/_rels/sheet4.xml.rels>&#65279;<?xml version="1.0" encoding="utf-8"?><Relationships xmlns="http://schemas.openxmlformats.org/package/2006/relationships"><Relationship Type="http://schemas.openxmlformats.org/officeDocument/2006/relationships/comments" Target="/xl/comments2.xml" Id="R6b13cc25bffb42a0" /><Relationship Type="http://schemas.openxmlformats.org/officeDocument/2006/relationships/vmlDrawing" Target="/xl/drawings/vmldrawing2.vml" Id="Rbd2c9e499a124b87" /><Relationship Type="http://schemas.microsoft.com/office/2017/10/relationships/threadedComment" Target="/xl/threadedcomments/threadedcomment2.xml" Id="Rae69ec2ae514473a" /></Relationships>
</file>

<file path=xl/worksheets/_rels/sheet5.xml.rels>&#65279;<?xml version="1.0" encoding="utf-8"?><Relationships xmlns="http://schemas.openxmlformats.org/package/2006/relationships"><Relationship Type="http://schemas.openxmlformats.org/officeDocument/2006/relationships/comments" Target="/xl/comments3.xml" Id="R47ac5eabc61a41a4" /><Relationship Type="http://schemas.openxmlformats.org/officeDocument/2006/relationships/vmlDrawing" Target="/xl/drawings/vmldrawing3.vml" Id="R2ef1a00a222a4f73" /><Relationship Type="http://schemas.microsoft.com/office/2017/10/relationships/threadedComment" Target="/xl/threadedcomments/threadedcomment3.xml" Id="R2e6bc9e8f1a54522" /></Relationships>
</file>

<file path=xl/worksheets/_rels/sheet6.xml.rels>&#65279;<?xml version="1.0" encoding="utf-8"?><Relationships xmlns="http://schemas.openxmlformats.org/package/2006/relationships"><Relationship Type="http://schemas.openxmlformats.org/officeDocument/2006/relationships/comments" Target="/xl/comments4.xml" Id="R5305dd749e8a4837" /><Relationship Type="http://schemas.openxmlformats.org/officeDocument/2006/relationships/vmlDrawing" Target="/xl/drawings/vmldrawing4.vml" Id="Rf32a050b090b49f5" /><Relationship Type="http://schemas.microsoft.com/office/2017/10/relationships/threadedComment" Target="/xl/threadedcomments/threadedcomment4.xml" Id="Ra900ce2828844251" /><Relationship Type="http://schemas.openxmlformats.org/officeDocument/2006/relationships/drawing" Target="/xl/drawings/drawing1.xml" Id="Rfaf5a9d46fe84e43" /></Relationships>
</file>

<file path=xl/worksheets/_rels/sheet7.xml.rels>&#65279;<?xml version="1.0" encoding="utf-8"?><Relationships xmlns="http://schemas.openxmlformats.org/package/2006/relationships"><Relationship Type="http://schemas.openxmlformats.org/officeDocument/2006/relationships/comments" Target="/xl/comments5.xml" Id="R55a427c402f64c1f" /><Relationship Type="http://schemas.openxmlformats.org/officeDocument/2006/relationships/vmlDrawing" Target="/xl/drawings/vmldrawing5.vml" Id="R0d57ea442cd84ab9" /><Relationship Type="http://schemas.microsoft.com/office/2017/10/relationships/threadedComment" Target="/xl/threadedcomments/threadedcomment5.xml" Id="Rb7699cd1ba534371" /><Relationship Type="http://schemas.openxmlformats.org/officeDocument/2006/relationships/drawing" Target="/xl/drawings/drawing2.xml" Id="R38a57b00f94c4ab2" /></Relationships>
</file>

<file path=xl/worksheets/_rels/sheet9.xml.rels>&#65279;<?xml version="1.0" encoding="utf-8"?><Relationships xmlns="http://schemas.openxmlformats.org/package/2006/relationships"><Relationship Type="http://schemas.openxmlformats.org/officeDocument/2006/relationships/comments" Target="/xl/comments6.xml" Id="Rb87f004fa069496e" /><Relationship Type="http://schemas.openxmlformats.org/officeDocument/2006/relationships/vmlDrawing" Target="/xl/drawings/vmldrawing6.vml" Id="R673feda76fcc4fdb" /><Relationship Type="http://schemas.microsoft.com/office/2017/10/relationships/threadedComment" Target="/xl/threadedcomments/threadedcomment6.xml" Id="R3cf21b48757f4979" /></Relationships>
</file>

<file path=xl/worksheets/_rels/sheet16.xml.rels>&#65279;<?xml version="1.0" encoding="utf-8"?><Relationships xmlns="http://schemas.openxmlformats.org/package/2006/relationships"><Relationship Type="http://schemas.openxmlformats.org/officeDocument/2006/relationships/drawing" Target="/xl/drawings/drawing3.xml" Id="Radf6c4a214cc4e7d" /></Relationships>
</file>

<file path=xl/worksheets/sheet1.xml><?xml version="1.0" encoding="utf-8"?>
<x:worksheet xmlns:x="http://schemas.openxmlformats.org/spreadsheetml/2006/main">
  <x:sheetFormatPr defaultRowHeight="15"/>
  <x:cols>
    <x:col min="1" max="1" width="18" hidden="0" customWidth="1"/>
    <x:col min="2" max="2" width="31" hidden="0" customWidth="1"/>
    <x:col min="3" max="3" width="29" hidden="0" customWidth="1"/>
    <x:col min="4" max="4" width="4"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s>
  <x:sheetData>
    <x:row r="1" ht="28" customHeight="1">
      <x:c r="A1" s="5" t="str">
        <x:v>A02 — Texas Toll-Road Financial Model</x:v>
      </x:c>
      <x:c r="B1" s="5"/>
      <x:c r="C1" s="5"/>
      <x:c r="D1" s="5"/>
      <x:c r="E1" s="5"/>
      <x:c r="F1" s="5"/>
      <x:c r="G1" s="5"/>
      <x:c r="H1" s="5"/>
      <x:c r="I1" s="5"/>
      <x:c r="J1" s="5"/>
    </x:row>
    <x:row r="2" ht="34" customHeight="1">
      <x:c r="A2" s="13" t="str">
        <x:v>Why Texas Toll Roads Stay Tolled: Where the Money Goes After Construction | Version 1.2 | Research cut-off: 2026-09-02 | Web-publication revision</x:v>
      </x:c>
      <x:c r="B2" s="13"/>
      <x:c r="C2" s="13"/>
      <x:c r="D2" s="13"/>
      <x:c r="E2" s="13"/>
      <x:c r="F2" s="13"/>
      <x:c r="G2" s="13"/>
      <x:c r="H2" s="13"/>
      <x:c r="I2" s="13"/>
      <x:c r="J2" s="13"/>
    </x:row>
    <x:row r="4">
      <x:c r="A4" s="411" t="str">
        <x:v>Direct answer: the original construction bill is only one layer. Texas tolls can continue because debt is pooled across a system, old debt is refinanced, future capital and reserve deposits remain, surplus can be transferred to authorized transportation uses, statutory toll power survives, or a private concession still holds revenue rights. None of those conclusions can be inferred from “the road has collected more than it cost.”</x:v>
      </x:c>
      <x:c r="B4" s="412"/>
      <x:c r="C4" s="412"/>
      <x:c r="D4" s="412"/>
      <x:c r="E4" s="412"/>
      <x:c r="F4" s="412"/>
      <x:c r="G4" s="412"/>
      <x:c r="H4" s="412"/>
      <x:c r="I4" s="412"/>
      <x:c r="J4" s="413"/>
    </x:row>
    <x:row r="5">
      <x:c r="A5" s="414"/>
      <x:c r="B5" s="415"/>
      <x:c r="C5" s="415"/>
      <x:c r="D5" s="415"/>
      <x:c r="E5" s="415"/>
      <x:c r="F5" s="415"/>
      <x:c r="G5" s="415"/>
      <x:c r="H5" s="415"/>
      <x:c r="I5" s="415"/>
      <x:c r="J5" s="416"/>
    </x:row>
    <x:row r="6">
      <x:c r="A6" s="417"/>
      <x:c r="B6" s="418"/>
      <x:c r="C6" s="418"/>
      <x:c r="D6" s="418"/>
      <x:c r="E6" s="418"/>
      <x:c r="F6" s="418"/>
      <x:c r="G6" s="418"/>
      <x:c r="H6" s="418"/>
      <x:c r="I6" s="418"/>
      <x:c r="J6" s="419"/>
    </x:row>
    <x:row r="8" ht="20" customHeight="1">
      <x:c r="A8" s="229" t="str">
        <x:v>SH 288 rights buyout</x:v>
      </x:c>
      <x:c r="B8" s="229"/>
      <x:c r="C8" s="229" t="str">
        <x:v>HCTRA FY2025 transfer</x:v>
      </x:c>
      <x:c r="D8" s="229"/>
      <x:c r="E8" s="229" t="str">
        <x:v>NTTA FY2025 long-term debt</x:v>
      </x:c>
      <x:c r="F8" s="229"/>
      <x:c r="G8" s="229" t="str">
        <x:v>Publication-normalized systems</x:v>
      </x:c>
      <x:c r="H8" s="229"/>
      <x:c r="I8" s="229" t="str">
        <x:v>Public systems reviewed</x:v>
      </x:c>
      <x:c r="J8" s="229"/>
    </x:row>
    <x:row r="9">
      <x:c r="A9" s="451" t="n">
        <x:f>'08_Concessions'!O9</x:f>
        <x:v>1731.730721</x:v>
      </x:c>
      <x:c r="B9" s="452"/>
      <x:c r="C9" s="451" t="n">
        <x:f>'02_System_Summary'!I6</x:f>
        <x:v>398.613674</x:v>
      </x:c>
      <x:c r="D9" s="452"/>
      <x:c r="E9" s="451" t="n">
        <x:f>'02_System_Summary'!K5</x:f>
        <x:v>8519</x:v>
      </x:c>
      <x:c r="F9" s="452"/>
      <x:c r="G9" s="472" t="n">
        <x:v>2</x:v>
      </x:c>
      <x:c r="H9" s="473"/>
      <x:c r="I9" s="472" t="n">
        <x:v>7</x:v>
      </x:c>
      <x:c r="J9" s="473"/>
    </x:row>
    <x:row r="10">
      <x:c r="A10" s="453"/>
      <x:c r="B10" s="454"/>
      <x:c r="C10" s="453"/>
      <x:c r="D10" s="454"/>
      <x:c r="E10" s="453"/>
      <x:c r="F10" s="454"/>
      <x:c r="G10" s="474"/>
      <x:c r="H10" s="475"/>
      <x:c r="I10" s="474"/>
      <x:c r="J10" s="475"/>
    </x:row>
    <x:row r="11">
      <x:c r="A11" s="482" t="str">
        <x:v>$1.7317bn</x:v>
      </x:c>
      <x:c r="B11" s="482"/>
      <x:c r="C11" s="482" t="str">
        <x:v>$398.6m</x:v>
      </x:c>
      <x:c r="D11" s="482"/>
      <x:c r="E11" s="482" t="str">
        <x:v>$8.519bn</x:v>
      </x:c>
      <x:c r="F11" s="482"/>
      <x:c r="G11" s="482" t="str">
        <x:v>CTTS and Grand Parkway</x:v>
      </x:c>
      <x:c r="H11" s="482"/>
      <x:c r="I11" s="482" t="str">
        <x:v>Material, not statewide census</x:v>
      </x:c>
      <x:c r="J11" s="482"/>
    </x:row>
    <x:row r="14" ht="20" customHeight="1">
      <x:c r="A14" s="135" t="str">
        <x:v>Workbook map</x:v>
      </x:c>
      <x:c r="B14" s="135"/>
      <x:c r="C14" s="135"/>
      <x:c r="D14" s="135"/>
      <x:c r="E14" s="135"/>
      <x:c r="F14" s="135"/>
      <x:c r="G14" s="135"/>
      <x:c r="H14" s="135"/>
      <x:c r="I14" s="135"/>
      <x:c r="J14" s="135"/>
    </x:row>
    <x:row r="15" ht="20" customHeight="1">
      <x:c r="A15" s="29" t="str">
        <x:v>Sheet</x:v>
      </x:c>
      <x:c r="B15" s="30" t="str">
        <x:v>Purpose</x:v>
      </x:c>
      <x:c r="C15" s="31" t="str">
        <x:v>Publication use</x:v>
      </x:c>
      <x:c r="E15" s="135" t="str">
        <x:v>Model controls</x:v>
      </x:c>
      <x:c r="F15" s="135"/>
      <x:c r="G15" s="135"/>
      <x:c r="H15" s="135"/>
      <x:c r="I15" s="135"/>
      <x:c r="J15" s="135"/>
    </x:row>
    <x:row r="16">
      <x:c r="A16" s="56" t="str">
        <x:v>01_Source_Ledger</x:v>
      </x:c>
      <x:c r="B16" s="56" t="str">
        <x:v>Primary-source inventory, page/section, source units and transformation</x:v>
      </x:c>
      <x:c r="C16" s="56" t="str">
        <x:v>Trace every figure and legal claim</x:v>
      </x:c>
      <x:c r="E16" s="78" t="str">
        <x:v>Fiscal-year control</x:v>
      </x:c>
      <x:c r="F16" s="56" t="str">
        <x:v>Every number retains its own period end. No cross-system total is calculated.</x:v>
      </x:c>
      <x:c r="G16" s="56"/>
      <x:c r="H16" s="56"/>
      <x:c r="I16" s="56"/>
      <x:c r="J16" s="56"/>
    </x:row>
    <x:row r="17">
      <x:c r="A17" s="48" t="str">
        <x:v>02_System_Summary</x:v>
      </x:c>
      <x:c r="B17" s="48" t="str">
        <x:v>One-row comparison of material public systems</x:v>
      </x:c>
      <x:c r="C17" s="48" t="str">
        <x:v>System comparison table</x:v>
      </x:c>
      <x:c r="E17" s="68" t="str">
        <x:v>Basis control</x:v>
      </x:c>
      <x:c r="F17" s="48" t="str">
        <x:v>Accounting, cash, trust-indenture and HB803 recurring-obligation figures are labeled separately.</x:v>
      </x:c>
      <x:c r="G17" s="48"/>
      <x:c r="H17" s="48"/>
      <x:c r="I17" s="48"/>
      <x:c r="J17" s="48"/>
    </x:row>
    <x:row r="18">
      <x:c r="A18" s="56" t="str">
        <x:v>03_Accounting_View</x:v>
      </x:c>
      <x:c r="B18" s="56" t="str">
        <x:v>Accrual revenue, expense, depreciation, interest and net-position view</x:v>
      </x:c>
      <x:c r="C18" s="56" t="str">
        <x:v>Prevent cash/accounting category errors</x:v>
      </x:c>
      <x:c r="E18" s="78" t="str">
        <x:v>Unavailable data</x:v>
      </x:c>
      <x:c r="F18" s="56" t="str">
        <x:v>Blank means unavailable. It is never interpreted as zero.</x:v>
      </x:c>
      <x:c r="G18" s="56"/>
      <x:c r="H18" s="56"/>
      <x:c r="I18" s="56"/>
      <x:c r="J18" s="56"/>
    </x:row>
    <x:row r="19">
      <x:c r="A19" s="48" t="str">
        <x:v>04_Cash_Waterfall</x:v>
      </x:c>
      <x:c r="B19" s="48" t="str">
        <x:v>Cash sources and uses where available</x:v>
      </x:c>
      <x:c r="C19" s="48" t="str">
        <x:v>Follow toll collections, debt, capital and transfers</x:v>
      </x:c>
      <x:c r="E19" s="68" t="str">
        <x:v>Formula control</x:v>
      </x:c>
      <x:c r="F19" s="48" t="str">
        <x:v>Derived totals, percentages and reconciliations are formulas; raw inputs are blue.</x:v>
      </x:c>
      <x:c r="G19" s="48"/>
      <x:c r="H19" s="48"/>
      <x:c r="I19" s="48"/>
      <x:c r="J19" s="48"/>
    </x:row>
    <x:row r="20">
      <x:c r="A20" s="56" t="str">
        <x:v>05_100_Comparison</x:v>
      </x:c>
      <x:c r="B20" s="56" t="str">
        <x:v>Internal system bridges plus a separate HCTRA claims panel; the web article normalizes only CTTS and Grand Parkway</x:v>
      </x:c>
      <x:c r="C20" s="56" t="str">
        <x:v>Workbook reference and audit trail; do not reproduce the mixed-denominator stack as a statewide chart</x:v>
      </x:c>
      <x:c r="E20" s="78" t="str">
        <x:v>Source control</x:v>
      </x:c>
      <x:c r="F20" s="56" t="str">
        <x:v>Raw financial inputs carry source comments; the ledger preserves URL, page/section and source units.</x:v>
      </x:c>
      <x:c r="G20" s="56"/>
      <x:c r="H20" s="56"/>
      <x:c r="I20" s="56"/>
      <x:c r="J20" s="56"/>
    </x:row>
    <x:row r="21">
      <x:c r="A21" s="48" t="str">
        <x:v>06_Five_Year_Trend</x:v>
      </x:c>
      <x:c r="B21" s="48" t="str">
        <x:v>HCTRA toll-revenue trend with transition-period control</x:v>
      </x:c>
      <x:c r="C21" s="48" t="str">
        <x:v>Five-year context</x:v>
      </x:c>
      <x:c r="E21" s="68" t="str">
        <x:v>Chart control</x:v>
      </x:c>
      <x:c r="F21" s="48" t="str">
        <x:v>Only internally reconciled denominators enter the stacked $100 chart.</x:v>
      </x:c>
      <x:c r="G21" s="48"/>
      <x:c r="H21" s="48"/>
      <x:c r="I21" s="48"/>
      <x:c r="J21" s="48"/>
    </x:row>
    <x:row r="22">
      <x:c r="A22" s="56" t="str">
        <x:v>07_Debt_Timeline</x:v>
      </x:c>
      <x:c r="B22" s="56" t="str">
        <x:v>Openings, refundings, maturities, bankruptcy and buyout</x:v>
      </x:c>
      <x:c r="C22" s="56" t="str">
        <x:v>Debt/refinancing/concession timeline</x:v>
      </x:c>
      <x:c r="E22" s="78" t="str">
        <x:v>Private/public control</x:v>
      </x:c>
      <x:c r="F22" s="56" t="str">
        <x:v>County transfers, reserve deposits and shareholder dividends are not treated as economically identical.</x:v>
      </x:c>
      <x:c r="G22" s="56"/>
      <x:c r="H22" s="56"/>
      <x:c r="I22" s="56"/>
      <x:c r="J22" s="56"/>
    </x:row>
    <x:row r="23">
      <x:c r="A23" s="48" t="str">
        <x:v>08_Concessions</x:v>
      </x:c>
      <x:c r="B23" s="48" t="str">
        <x:v>NTE, LBJ, NTE35W, SH130 and SH288 economics/terms</x:v>
      </x:c>
      <x:c r="C23" s="48" t="str">
        <x:v>Private vs public cash-rights comparison</x:v>
      </x:c>
      <x:c r="E23" s="68" t="str">
        <x:v>Legal control</x:v>
      </x:c>
      <x:c r="F23" s="48" t="str">
        <x:v>No toll-removal claim is made from a campaign promise or press quote.</x:v>
      </x:c>
      <x:c r="G23" s="48"/>
      <x:c r="H23" s="48"/>
      <x:c r="I23" s="48"/>
      <x:c r="J23" s="48"/>
    </x:row>
    <x:row r="24">
      <x:c r="A24" s="56" t="str">
        <x:v>09_Legal_Authority</x:v>
      </x:c>
      <x:c r="B24" s="56" t="str">
        <x:v>Toll power, pledges, covenants, surplus authority and removal rules</x:v>
      </x:c>
      <x:c r="C24" s="56" t="str">
        <x:v>Five-question legal framework</x:v>
      </x:c>
    </x:row>
    <x:row r="25">
      <x:c r="A25" s="48" t="str">
        <x:v>10_Map_Data</x:v>
      </x:c>
      <x:c r="B25" s="48" t="str">
        <x:v>Facility join keys and official map sources</x:v>
      </x:c>
      <x:c r="C25" s="48" t="str">
        <x:v>Publication map preparation</x:v>
      </x:c>
    </x:row>
    <x:row r="26" ht="20" customHeight="1">
      <x:c r="A26" s="56" t="str">
        <x:v>11_Reconciliation</x:v>
      </x:c>
      <x:c r="B26" s="56" t="str">
        <x:v>Source-use controls and accounting-to-cash bridges</x:v>
      </x:c>
      <x:c r="C26" s="56" t="str">
        <x:v>Audit trail / methodological appendix</x:v>
      </x:c>
      <x:c r="E26" s="143" t="str">
        <x:v>Comparability decision</x:v>
      </x:c>
      <x:c r="F26" s="143"/>
      <x:c r="G26" s="143"/>
      <x:c r="H26" s="143"/>
      <x:c r="I26" s="143"/>
      <x:c r="J26" s="143"/>
    </x:row>
    <x:row r="27">
      <x:c r="A27" s="48" t="str">
        <x:v>12_Diagram</x:v>
      </x:c>
      <x:c r="B27" s="48" t="str">
        <x:v>Five distinct meanings of “paid off”</x:v>
      </x:c>
      <x:c r="C27" s="48" t="str">
        <x:v>One-page explanatory graphic</x:v>
      </x:c>
      <x:c r="E27" s="488" t="str">
        <x:v>Exact recurring-obligation comparison: NTTA uses gross Trust revenue (including investment/other revenue); CTTS and Grand Parkway use operating revenue. NTTA’s remainder is an algebraic unallocated residual after MFR O&amp;M and preliminary cash debt service, not a proved allocation to named funds. TxDOT residuals are reported as bond-required reserve amounts. HCTRA claims can exceed $100 because beginning cash, investment activity and new commercial paper also funded the year. CTRMA and Fort Bend remain outside the exact stack.</x:v>
      </x:c>
      <x:c r="F27" s="488"/>
      <x:c r="G27" s="488"/>
      <x:c r="H27" s="488"/>
      <x:c r="I27" s="488"/>
      <x:c r="J27" s="488"/>
    </x:row>
    <x:row r="28">
      <x:c r="A28" s="56" t="str">
        <x:v>13_SEO_Publish</x:v>
      </x:c>
      <x:c r="B28" s="56" t="str">
        <x:v>H1, title, meta, links, follow-ons and correction protocol</x:v>
      </x:c>
      <x:c r="C28" s="56" t="str">
        <x:v>Publication package</x:v>
      </x:c>
      <x:c r="E28" s="488"/>
      <x:c r="F28" s="488"/>
      <x:c r="G28" s="488"/>
      <x:c r="H28" s="488"/>
      <x:c r="I28" s="488"/>
      <x:c r="J28" s="488"/>
    </x:row>
    <x:row r="29">
      <x:c r="A29" s="48" t="str">
        <x:v>14_Fact_Check</x:v>
      </x:c>
      <x:c r="B29" s="48" t="str">
        <x:v>Cleared, qualified and unresolved claims</x:v>
      </x:c>
      <x:c r="C29" s="48" t="str">
        <x:v>Publish gate</x:v>
      </x:c>
      <x:c r="E29" s="488"/>
      <x:c r="F29" s="488"/>
      <x:c r="G29" s="488"/>
      <x:c r="H29" s="488"/>
      <x:c r="I29" s="488"/>
      <x:c r="J29" s="488"/>
    </x:row>
    <x:row r="30">
      <x:c r="E30" s="488"/>
      <x:c r="F30" s="488"/>
      <x:c r="G30" s="488"/>
      <x:c r="H30" s="488"/>
      <x:c r="I30" s="488"/>
      <x:c r="J30" s="488"/>
    </x:row>
    <x:row r="31">
      <x:c r="E31" s="488"/>
      <x:c r="F31" s="488"/>
      <x:c r="G31" s="488"/>
      <x:c r="H31" s="488"/>
      <x:c r="I31" s="488"/>
      <x:c r="J31" s="488"/>
    </x:row>
  </x:sheetData>
  <x:mergeCells>
    <x:mergeCell ref="A1:J1"/>
    <x:mergeCell ref="A2:J2"/>
    <x:mergeCell ref="A4:J6"/>
    <x:mergeCell ref="A8:B8"/>
    <x:mergeCell ref="C8:D8"/>
    <x:mergeCell ref="E8:F8"/>
    <x:mergeCell ref="G8:H8"/>
    <x:mergeCell ref="I8:J8"/>
    <x:mergeCell ref="A9:B10"/>
    <x:mergeCell ref="C9:D10"/>
    <x:mergeCell ref="E9:F10"/>
    <x:mergeCell ref="G9:H10"/>
    <x:mergeCell ref="I9:J10"/>
    <x:mergeCell ref="A11:B11"/>
    <x:mergeCell ref="C11:D11"/>
    <x:mergeCell ref="E11:F11"/>
    <x:mergeCell ref="G11:H11"/>
    <x:mergeCell ref="I11:J11"/>
    <x:mergeCell ref="A14:J14"/>
    <x:mergeCell ref="E15:J15"/>
    <x:mergeCell ref="E26:J26"/>
    <x:mergeCell ref="E27:J31"/>
    <x:mergeCell ref="F16:J16"/>
    <x:mergeCell ref="F17:J17"/>
    <x:mergeCell ref="F18:J18"/>
    <x:mergeCell ref="F19:J19"/>
    <x:mergeCell ref="F20:J20"/>
    <x:mergeCell ref="F21:J21"/>
    <x:mergeCell ref="F22:J22"/>
    <x:mergeCell ref="F23:J23"/>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2" hidden="0" customWidth="1"/>
    <x:col min="3" max="3" width="18" hidden="0" customWidth="1"/>
    <x:col min="4" max="4" width="30" hidden="0" customWidth="1"/>
    <x:col min="5" max="5" width="32" hidden="0" customWidth="1"/>
    <x:col min="6" max="6" width="23" hidden="0" customWidth="1"/>
    <x:col min="7" max="7" width="45" hidden="0" customWidth="1"/>
    <x:col min="8" max="8" width="28" hidden="0" customWidth="1"/>
    <x:col min="9" max="9" width="15" hidden="0" customWidth="1"/>
    <x:col min="10" max="10" width="36" hidden="0" customWidth="1"/>
    <x:col min="11" max="11" width="24" hidden="0" customWidth="1"/>
    <x:col min="12" max="12" width="13" hidden="0" customWidth="1"/>
  </x:cols>
  <x:sheetData>
    <x:row r="1" ht="28" customHeight="1">
      <x:c r="A1" s="5" t="str">
        <x:v>A02 Source Ledger</x:v>
      </x:c>
      <x:c r="B1" s="5"/>
      <x:c r="C1" s="5"/>
      <x:c r="D1" s="5"/>
      <x:c r="E1" s="5"/>
      <x:c r="F1" s="5"/>
      <x:c r="G1" s="5"/>
      <x:c r="H1" s="5"/>
      <x:c r="I1" s="5"/>
      <x:c r="J1" s="5"/>
      <x:c r="K1" s="5"/>
      <x:c r="L1" s="5"/>
    </x:row>
    <x:row r="2" ht="34" customHeight="1">
      <x:c r="A2" s="13" t="str">
        <x:v>Primary-source trail for every material financial figure and legal proposition. Source units are preserved; transformations are explicit.</x:v>
      </x:c>
      <x:c r="B2" s="13"/>
      <x:c r="C2" s="13"/>
      <x:c r="D2" s="13"/>
      <x:c r="E2" s="13"/>
      <x:c r="F2" s="13"/>
      <x:c r="G2" s="13"/>
      <x:c r="H2" s="13"/>
      <x:c r="I2" s="13"/>
      <x:c r="J2" s="13"/>
      <x:c r="K2" s="13"/>
      <x:c r="L2" s="13"/>
    </x:row>
    <x:row r="4" ht="30" customHeight="1">
      <x:c r="A4" s="62" t="str">
        <x:v>Source ID</x:v>
      </x:c>
      <x:c r="B4" s="63" t="str">
        <x:v>System / Topic</x:v>
      </x:c>
      <x:c r="C4" s="63" t="str">
        <x:v>Fiscal year / as-of</x:v>
      </x:c>
      <x:c r="D4" s="63" t="str">
        <x:v>Claim / data need</x:v>
      </x:c>
      <x:c r="E4" s="63" t="str">
        <x:v>Source / document</x:v>
      </x:c>
      <x:c r="F4" s="63" t="str">
        <x:v>Source type</x:v>
      </x:c>
      <x:c r="G4" s="63" t="str">
        <x:v>URL</x:v>
      </x:c>
      <x:c r="H4" s="63" t="str">
        <x:v>Page / section</x:v>
      </x:c>
      <x:c r="I4" s="63" t="str">
        <x:v>Source units</x:v>
      </x:c>
      <x:c r="J4" s="63" t="str">
        <x:v>Transformation / use</x:v>
      </x:c>
      <x:c r="K4" s="63" t="str">
        <x:v>Reliability</x:v>
      </x:c>
      <x:c r="L4" s="64" t="str">
        <x:v>Accessed</x:v>
      </x:c>
    </x:row>
    <x:row r="5">
      <x:c r="A5" s="48" t="str">
        <x:v>S01</x:v>
      </x:c>
      <x:c r="B5" s="48" t="str">
        <x:v>NTTA</x:v>
      </x:c>
      <x:c r="C5" s="52" t="str">
        <x:v>FY2025 / current</x:v>
      </x:c>
      <x:c r="D5" s="48" t="str">
        <x:v>Current official record hub and report inventory</x:v>
      </x:c>
      <x:c r="E5" s="48" t="str">
        <x:v>NTTA Financial Information</x:v>
      </x:c>
      <x:c r="F5" s="48" t="str">
        <x:v>Authority primary records hub</x:v>
      </x:c>
      <x:c r="G5" s="48" t="str">
        <x:v>https://www.ntta.org/about-us/financial-information</x:v>
      </x:c>
      <x:c r="H5" s="48" t="str">
        <x:v>Annual reports; monthly reports; trust agreements; debt obligations</x:v>
      </x:c>
      <x:c r="I5" s="48" t="str">
        <x:v>Mixed</x:v>
      </x:c>
      <x:c r="J5" s="48" t="str">
        <x:v>Navigation and current-status verification</x:v>
      </x:c>
      <x:c r="K5" s="48" t="str">
        <x:v>High</x:v>
      </x:c>
      <x:c r="L5" s="54" t="str">
        <x:v>2026-09-02</x:v>
      </x:c>
    </x:row>
    <x:row r="6">
      <x:c r="A6" s="56" t="str">
        <x:v>S02</x:v>
      </x:c>
      <x:c r="B6" s="56" t="str">
        <x:v>NTTA</x:v>
      </x:c>
      <x:c r="C6" s="57" t="str">
        <x:v>FY2025, year ended 2025-12-31</x:v>
      </x:c>
      <x:c r="D6" s="56" t="str">
        <x:v>Audited net toll revenue, audited debt service, coverage and long-term debt</x:v>
      </x:c>
      <x:c r="E6" s="56" t="str">
        <x:v>2025 NTTA System ACFR / Annual Summary</x:v>
      </x:c>
      <x:c r="F6" s="56" t="str">
        <x:v>Audited financial report</x:v>
      </x:c>
      <x:c r="G6" s="56" t="str">
        <x:v>https://www.ntta.org/sites/default/files/2026-06/06-25-2026_Digital-Annual-Report_2025.pdf</x:v>
      </x:c>
      <x:c r="H6" s="56" t="str">
        <x:v>Annual Summary / financial highlights and debt tables</x:v>
      </x:c>
      <x:c r="I6" s="56" t="str">
        <x:v>Dollars / $ millions</x:v>
      </x:c>
      <x:c r="J6" s="56" t="str">
        <x:v>Use audited headline values; convert dollars to $mm where needed</x:v>
      </x:c>
      <x:c r="K6" s="56" t="str">
        <x:v>High; direct PDF currently blocks crawler but is listed by NTTA</x:v>
      </x:c>
      <x:c r="L6" s="58" t="str">
        <x:v>2026-09-02</x:v>
      </x:c>
    </x:row>
    <x:row r="7">
      <x:c r="A7" s="48" t="str">
        <x:v>S03</x:v>
      </x:c>
      <x:c r="B7" s="48" t="str">
        <x:v>NTTA</x:v>
      </x:c>
      <x:c r="C7" s="52" t="str">
        <x:v>FY2025, year ended 2025-12-31</x:v>
      </x:c>
      <x:c r="D7" s="48" t="str">
        <x:v>Detailed trust-basis revenue, O&amp;M, debt-service and cash-flow categories</x:v>
      </x:c>
      <x:c r="E7" s="48" t="str">
        <x:v>December 2025 Monthly Financial Report</x:v>
      </x:c>
      <x:c r="F7" s="48" t="str">
        <x:v>Authority interim financial report; preliminary/unaudited</x:v>
      </x:c>
      <x:c r="G7" s="48" t="str">
        <x:v>https://www.ntta.org/sites/default/files/2026-02/December%202025%20MFR.pdf</x:v>
      </x:c>
      <x:c r="H7" s="48" t="str">
        <x:v>Revenue and coverage calculation; statement of cash flows</x:v>
      </x:c>
      <x:c r="I7" s="48" t="str">
        <x:v>Dollars</x:v>
      </x:c>
      <x:c r="J7" s="48" t="str">
        <x:v>Divide by 1,000,000; use only for category split and reconcile to audited headlines</x:v>
      </x:c>
      <x:c r="K7" s="48" t="str">
        <x:v>Medium-high; preliminary and subject to adjustment</x:v>
      </x:c>
      <x:c r="L7" s="54" t="str">
        <x:v>2026-09-02</x:v>
      </x:c>
    </x:row>
    <x:row r="8">
      <x:c r="A8" s="56" t="str">
        <x:v>S04</x:v>
      </x:c>
      <x:c r="B8" s="56" t="str">
        <x:v>NTTA</x:v>
      </x:c>
      <x:c r="C8" s="57" t="str">
        <x:v>Current agreement</x:v>
      </x:c>
      <x:c r="D8" s="56" t="str">
        <x:v>Pooled system pledge, revenue waterfall and coverage tests</x:v>
      </x:c>
      <x:c r="E8" s="56" t="str">
        <x:v>Amended and Restated NTTA Trust Agreement</x:v>
      </x:c>
      <x:c r="F8" s="56" t="str">
        <x:v>Trust indenture</x:v>
      </x:c>
      <x:c r="G8" s="56" t="str">
        <x:v>https://www.ntta.org/whatwedo/fin_invest_info/NTTAsystem/Documents/NTTAAmdRestdTrustagtwithFirstSupplement.pdf</x:v>
      </x:c>
      <x:c r="H8" s="56" t="str">
        <x:v>Revenue Fund, O&amp;M, debt-service, reserve and toll-covenant provisions</x:v>
      </x:c>
      <x:c r="I8" s="56" t="str">
        <x:v>Legal text</x:v>
      </x:c>
      <x:c r="J8" s="56" t="str">
        <x:v>Classify debt and revenue as system-wide; do not assign all debt to one road</x:v>
      </x:c>
      <x:c r="K8" s="56" t="str">
        <x:v>Controlling for covered bonds; confirm supplements for specific series</x:v>
      </x:c>
      <x:c r="L8" s="58" t="str">
        <x:v>2026-09-02</x:v>
      </x:c>
    </x:row>
    <x:row r="9">
      <x:c r="A9" s="48" t="str">
        <x:v>S05</x:v>
      </x:c>
      <x:c r="B9" s="48" t="str">
        <x:v>HCTRA</x:v>
      </x:c>
      <x:c r="C9" s="52" t="str">
        <x:v>FY2025, year ended 2025-09-30</x:v>
      </x:c>
      <x:c r="D9" s="48" t="str">
        <x:v>Audited operating statement, cash flow, transfers, capital spending, debt and coverage</x:v>
      </x:c>
      <x:c r="E9" s="48" t="str">
        <x:v>Harris County FY2025 ACFR — Toll Road Authority enterprise fund</x:v>
      </x:c>
      <x:c r="F9" s="48" t="str">
        <x:v>Audited ACFR</x:v>
      </x:c>
      <x:c r="G9" s="48" t="str">
        <x:v>https://auditor.harriscountytx.gov/portals/auditor/documents/ACFRs/HC%20Final%209-30-25.pdf</x:v>
      </x:c>
      <x:c r="H9" s="48" t="str">
        <x:v>pp. 46–47, 76, 82–87, 257, 272</x:v>
      </x:c>
      <x:c r="I9" s="48" t="str">
        <x:v>Dollars / $000 in statistical schedules</x:v>
      </x:c>
      <x:c r="J9" s="48" t="str">
        <x:v>Divide dollars by 1,000,000; preserve statistical-table units and period labels</x:v>
      </x:c>
      <x:c r="K9" s="48" t="str">
        <x:v>High</x:v>
      </x:c>
      <x:c r="L9" s="54" t="str">
        <x:v>2026-09-02</x:v>
      </x:c>
    </x:row>
    <x:row r="10">
      <x:c r="A10" s="56" t="str">
        <x:v>S06</x:v>
      </x:c>
      <x:c r="B10" s="56" t="str">
        <x:v>HCTRA / county toll law</x:v>
      </x:c>
      <x:c r="C10" s="57" t="str">
        <x:v>Current code</x:v>
      </x:c>
      <x:c r="D10" s="56" t="str">
        <x:v>Surplus-use authority and conditional toll-removal/handoff rule</x:v>
      </x:c>
      <x:c r="E10" s="56" t="str">
        <x:v>Texas Transportation Code Chapter 284</x:v>
      </x:c>
      <x:c r="F10" s="56" t="str">
        <x:v>Texas statute</x:v>
      </x:c>
      <x:c r="G10" s="56" t="str">
        <x:v>https://statutes.capitol.texas.gov/Docs/TN/htm/TN.284.htm</x:v>
      </x:c>
      <x:c r="H10" s="56" t="str">
        <x:v>§§284.0031 and 284.008</x:v>
      </x:c>
      <x:c r="I10" s="56" t="str">
        <x:v>Legal text</x:v>
      </x:c>
      <x:c r="J10" s="56" t="str">
        <x:v>Separate default rule from subsection (d) exception and project-specific orders</x:v>
      </x:c>
      <x:c r="K10" s="56" t="str">
        <x:v>Controlling statute</x:v>
      </x:c>
      <x:c r="L10" s="58" t="str">
        <x:v>2026-09-02</x:v>
      </x:c>
    </x:row>
    <x:row r="11">
      <x:c r="A11" s="48" t="str">
        <x:v>S07</x:v>
      </x:c>
      <x:c r="B11" s="48" t="str">
        <x:v>HCTRA</x:v>
      </x:c>
      <x:c r="C11" s="52" t="str">
        <x:v>2016-02-25</x:v>
      </x:c>
      <x:c r="D11" s="48" t="str">
        <x:v>Project-specific use of §284.008(d) exception</x:v>
      </x:c>
      <x:c r="E11" s="48" t="str">
        <x:v>Texas Transportation Commission meeting agenda</x:v>
      </x:c>
      <x:c r="F11" s="48" t="str">
        <x:v>Commission agenda / order record</x:v>
      </x:c>
      <x:c r="G11" s="48" t="str">
        <x:v>https://ftp.dot.state.tx.us/pub/txdot/commission/2016/0225/agenda.pdf</x:v>
      </x:c>
      <x:c r="H11" s="48" t="str">
        <x:v>Agenda item concerning Harris County toll-road projects</x:v>
      </x:c>
      <x:c r="I11" s="48" t="str">
        <x:v>Legal / board record</x:v>
      </x:c>
      <x:c r="J11" s="48" t="str">
        <x:v>Use only for projects named in the order; no blanket inference</x:v>
      </x:c>
      <x:c r="K11" s="48" t="str">
        <x:v>High for existence of order; inspect underlying order for exact facilities</x:v>
      </x:c>
      <x:c r="L11" s="54" t="str">
        <x:v>2026-09-02</x:v>
      </x:c>
    </x:row>
    <x:row r="12">
      <x:c r="A12" s="56" t="str">
        <x:v>S08</x:v>
      </x:c>
      <x:c r="B12" s="56" t="str">
        <x:v>CTRMA</x:v>
      </x:c>
      <x:c r="C12" s="57" t="str">
        <x:v>FY2025 / current</x:v>
      </x:c>
      <x:c r="D12" s="56" t="str">
        <x:v>Audited-report availability, fiscal year, budgets and project records</x:v>
      </x:c>
      <x:c r="E12" s="56" t="str">
        <x:v>CTRMA Financial Information</x:v>
      </x:c>
      <x:c r="F12" s="56" t="str">
        <x:v>Authority primary records hub</x:v>
      </x:c>
      <x:c r="G12" s="56" t="str">
        <x:v>https://www.mobilityauthority.com/business/finance/fin-inv-info/</x:v>
      </x:c>
      <x:c r="H12" s="56" t="str">
        <x:v>Annual audited statements; monthly reports; capital plans; HB803</x:v>
      </x:c>
      <x:c r="I12" s="56" t="str">
        <x:v>Mixed</x:v>
      </x:c>
      <x:c r="J12" s="56" t="str">
        <x:v>Use as source inventory and to confirm FY July 1–June 30</x:v>
      </x:c>
      <x:c r="K12" s="56" t="str">
        <x:v>High</x:v>
      </x:c>
      <x:c r="L12" s="58" t="str">
        <x:v>2026-09-02</x:v>
      </x:c>
    </x:row>
    <x:row r="13">
      <x:c r="A13" s="48" t="str">
        <x:v>S09</x:v>
      </x:c>
      <x:c r="B13" s="48" t="str">
        <x:v>CTRMA</x:v>
      </x:c>
      <x:c r="C13" s="52" t="str">
        <x:v>FY2025, year ended 2025-06-30</x:v>
      </x:c>
      <x:c r="D13" s="48" t="str">
        <x:v>Detailed revenue, cash, O&amp;M, depreciation, interest and debt categories</x:v>
      </x:c>
      <x:c r="E13" s="48" t="str">
        <x:v>June 2025 CTRMA Financial Statements</x:v>
      </x:c>
      <x:c r="F13" s="48" t="str">
        <x:v>Final monthly financial statements; unaudited</x:v>
      </x:c>
      <x:c r="G13" s="48" t="str">
        <x:v>https://www.mobilityauthority.com/wp-content/uploads/2025/08/June-2025-CTRMA-Unaudited-Financial-Statements.pdf</x:v>
      </x:c>
      <x:c r="H13" s="48" t="str">
        <x:v>Income statement pp. 1–6; balance sheet and cash flow pp. 7 onward</x:v>
      </x:c>
      <x:c r="I13" s="48" t="str">
        <x:v>Dollars</x:v>
      </x:c>
      <x:c r="J13" s="48" t="str">
        <x:v>Divide by 1,000,000; do not substitute detailed unaudited totals for audited headlines</x:v>
      </x:c>
      <x:c r="K13" s="48" t="str">
        <x:v>Medium-high; final but unaudited</x:v>
      </x:c>
      <x:c r="L13" s="54" t="str">
        <x:v>2026-09-02</x:v>
      </x:c>
    </x:row>
    <x:row r="14">
      <x:c r="A14" s="56" t="str">
        <x:v>S10</x:v>
      </x:c>
      <x:c r="B14" s="56" t="str">
        <x:v>CTRMA</x:v>
      </x:c>
      <x:c r="C14" s="57" t="str">
        <x:v>FY2025</x:v>
      </x:c>
      <x:c r="D14" s="56" t="str">
        <x:v>Audited toll revenue, debt principal and debt-service coverage</x:v>
      </x:c>
      <x:c r="E14" s="56" t="str">
        <x:v>FY2025 Annual Comprehensive Financial Report</x:v>
      </x:c>
      <x:c r="F14" s="56" t="str">
        <x:v>Audited ACFR, linked from authority hub</x:v>
      </x:c>
      <x:c r="G14" s="56" t="str">
        <x:v>https://www.mobilityauthority.com/business/finance/fin-inv-info/</x:v>
      </x:c>
      <x:c r="H14" s="56" t="str">
        <x:v>Annual Audited Financial Statements — FY2025 ACFR</x:v>
      </x:c>
      <x:c r="I14" s="56" t="str">
        <x:v>Dollars / $ millions</x:v>
      </x:c>
      <x:c r="J14" s="56" t="str">
        <x:v>Use audited headlines; detailed category split remains sourced to S09</x:v>
      </x:c>
      <x:c r="K14" s="56" t="str">
        <x:v>High</x:v>
      </x:c>
      <x:c r="L14" s="58" t="str">
        <x:v>2026-09-02</x:v>
      </x:c>
    </x:row>
    <x:row r="15">
      <x:c r="A15" s="48" t="str">
        <x:v>S11</x:v>
      </x:c>
      <x:c r="B15" s="48" t="str">
        <x:v>TxDOT toll systems</x:v>
      </x:c>
      <x:c r="C15" s="52" t="str">
        <x:v>FY2025, year ended 2025-08-31</x:v>
      </x:c>
      <x:c r="D15" s="48" t="str">
        <x:v>Recurring revenue obligations, debt maturities, concessions and five-year capital plans</x:v>
      </x:c>
      <x:c r="E15" s="48" t="str">
        <x:v>TxDOT HB 803 Report FY2025</x:v>
      </x:c>
      <x:c r="F15" s="48" t="str">
        <x:v>Statutory agency report</x:v>
      </x:c>
      <x:c r="G15" s="48" t="str">
        <x:v>https://www.txdot.gov/content/dam/docs/division/gov/hb-803-report-fy-2025.pdf</x:v>
      </x:c>
      <x:c r="H15" s="48" t="str">
        <x:v>Tables for financed, non-financed and concession facilities; capital plan</x:v>
      </x:c>
      <x:c r="I15" s="48" t="str">
        <x:v>$ millions / dates</x:v>
      </x:c>
      <x:c r="J15" s="48" t="str">
        <x:v>Use disclosed components to calculate residual reserve and $100 allocation</x:v>
      </x:c>
      <x:c r="K15" s="48" t="str">
        <x:v>High</x:v>
      </x:c>
      <x:c r="L15" s="54" t="str">
        <x:v>2026-09-02</x:v>
      </x:c>
    </x:row>
    <x:row r="16">
      <x:c r="A16" s="56" t="str">
        <x:v>S12</x:v>
      </x:c>
      <x:c r="B16" s="56" t="str">
        <x:v>TxDOT toll systems</x:v>
      </x:c>
      <x:c r="C16" s="57" t="str">
        <x:v>FY2025 / current</x:v>
      </x:c>
      <x:c r="D16" s="56" t="str">
        <x:v>Audited financial statements and investor disclosures for CTTS and Grand Parkway</x:v>
      </x:c>
      <x:c r="E16" s="56" t="str">
        <x:v>TxDOT Financial Publications</x:v>
      </x:c>
      <x:c r="F16" s="56" t="str">
        <x:v>State agency primary records hub</x:v>
      </x:c>
      <x:c r="G16" s="56" t="str">
        <x:v>https://www.txdot.gov/about/financial-management/financial-publications.html</x:v>
      </x:c>
      <x:c r="H16" s="56" t="str">
        <x:v>CTTS and Grand Parkway audited statements / continuing disclosures</x:v>
      </x:c>
      <x:c r="I16" s="56" t="str">
        <x:v>Mixed</x:v>
      </x:c>
      <x:c r="J16" s="56" t="str">
        <x:v>Use audited statements for accounting; HB803 for comparable recurring obligations</x:v>
      </x:c>
      <x:c r="K16" s="56" t="str">
        <x:v>High</x:v>
      </x:c>
      <x:c r="L16" s="58" t="str">
        <x:v>2026-09-02</x:v>
      </x:c>
    </x:row>
    <x:row r="17">
      <x:c r="A17" s="48" t="str">
        <x:v>S13</x:v>
      </x:c>
      <x:c r="B17" s="48" t="str">
        <x:v>SH 288</x:v>
      </x:c>
      <x:c r="C17" s="52" t="str">
        <x:v>Current / 2024 termination</x:v>
      </x:c>
      <x:c r="D17" s="48" t="str">
        <x:v>Executed CDA and termination documents</x:v>
      </x:c>
      <x:c r="E17" s="48" t="str">
        <x:v>SH 288 Toll Lanes — Executed Agreements</x:v>
      </x:c>
      <x:c r="F17" s="48" t="str">
        <x:v>TxDOT contract repository</x:v>
      </x:c>
      <x:c r="G17" s="48" t="str">
        <x:v>https://www.txdot.gov/business/road-bridge-maintenance/alternative-delivery/sh288-toll-lanes/executed-agreements.html</x:v>
      </x:c>
      <x:c r="H17" s="48" t="str">
        <x:v>CDA, amendments and termination agreement</x:v>
      </x:c>
      <x:c r="I17" s="48" t="str">
        <x:v>Legal text</x:v>
      </x:c>
      <x:c r="J17" s="48" t="str">
        <x:v>Distinguish public pavement ownership from private toll-revenue and operating rights</x:v>
      </x:c>
      <x:c r="K17" s="48" t="str">
        <x:v>High</x:v>
      </x:c>
      <x:c r="L17" s="54" t="str">
        <x:v>2026-09-02</x:v>
      </x:c>
    </x:row>
    <x:row r="18">
      <x:c r="A18" s="56" t="str">
        <x:v>S14</x:v>
      </x:c>
      <x:c r="B18" s="56" t="str">
        <x:v>SH 288</x:v>
      </x:c>
      <x:c r="C18" s="57" t="str">
        <x:v>2024-07-30</x:v>
      </x:c>
      <x:c r="D18" s="56" t="str">
        <x:v>Termination authorization and payment</x:v>
      </x:c>
      <x:c r="E18" s="56" t="str">
        <x:v>Texas Transportation Commission meeting minutes</x:v>
      </x:c>
      <x:c r="F18" s="56" t="str">
        <x:v>Commission action</x:v>
      </x:c>
      <x:c r="G18" s="56" t="str">
        <x:v>https://www.txdot.gov/content/dam/docs/commission/2024/0730/minutes.pdf</x:v>
      </x:c>
      <x:c r="H18" s="56" t="str">
        <x:v>SH 288 termination item</x:v>
      </x:c>
      <x:c r="I18" s="56" t="str">
        <x:v>Dollars / legal record</x:v>
      </x:c>
      <x:c r="J18" s="56" t="str">
        <x:v>Divide payment by 1,000,000; use exact stated amount</x:v>
      </x:c>
      <x:c r="K18" s="56" t="str">
        <x:v>High</x:v>
      </x:c>
      <x:c r="L18" s="58" t="str">
        <x:v>2026-09-02</x:v>
      </x:c>
    </x:row>
    <x:row r="19">
      <x:c r="A19" s="48" t="str">
        <x:v>S15</x:v>
      </x:c>
      <x:c r="B19" s="48" t="str">
        <x:v>SH 288 / TTFC</x:v>
      </x:c>
      <x:c r="C19" s="52" t="str">
        <x:v>2025-07-31</x:v>
      </x:c>
      <x:c r="D19" s="48" t="str">
        <x:v>State loan, toll-revenue assignment and post-termination financing authority</x:v>
      </x:c>
      <x:c r="E19" s="48" t="str">
        <x:v>Texas Transportation Commission Minute Order</x:v>
      </x:c>
      <x:c r="F19" s="48" t="str">
        <x:v>Commission order</x:v>
      </x:c>
      <x:c r="G19" s="48" t="str">
        <x:v>https://www.txdot.gov/content/dam/docs/commission/2025/0731/8.pdf</x:v>
      </x:c>
      <x:c r="H19" s="48" t="str">
        <x:v>Minute order 8</x:v>
      </x:c>
      <x:c r="I19" s="48" t="str">
        <x:v>Dollars / legal record</x:v>
      </x:c>
      <x:c r="J19" s="48" t="str">
        <x:v>Trace state loan, revenue rights and refinancing plan separately</x:v>
      </x:c>
      <x:c r="K19" s="48" t="str">
        <x:v>High</x:v>
      </x:c>
      <x:c r="L19" s="54" t="str">
        <x:v>2026-09-02</x:v>
      </x:c>
    </x:row>
    <x:row r="20">
      <x:c r="A20" s="56" t="str">
        <x:v>S16</x:v>
      </x:c>
      <x:c r="B20" s="56" t="str">
        <x:v>SH 288</x:v>
      </x:c>
      <x:c r="C20" s="57" t="str">
        <x:v>Project finance / 2024 termination</x:v>
      </x:c>
      <x:c r="D20" s="56" t="str">
        <x:v>Original project cost and financing sources</x:v>
      </x:c>
      <x:c r="E20" s="56" t="str">
        <x:v>Build America: SH 288 Toll Lanes Project</x:v>
      </x:c>
      <x:c r="F20" s="56" t="str">
        <x:v>USDOT project profile</x:v>
      </x:c>
      <x:c r="G20" s="56" t="str">
        <x:v>https://www.transportation.gov/buildamerica/projects/state-highway-sh-288-toll-lanes-project</x:v>
      </x:c>
      <x:c r="H20" s="56" t="str">
        <x:v>Project financing and TIFIA summary</x:v>
      </x:c>
      <x:c r="I20" s="56" t="str">
        <x:v>$ millions</x:v>
      </x:c>
      <x:c r="J20" s="56" t="str">
        <x:v>Use as project-cost context, not as current legal toll sunset</x:v>
      </x:c>
      <x:c r="K20" s="56" t="str">
        <x:v>High for federal finance terms</x:v>
      </x:c>
      <x:c r="L20" s="58" t="str">
        <x:v>2026-09-02</x:v>
      </x:c>
    </x:row>
    <x:row r="21">
      <x:c r="A21" s="48" t="str">
        <x:v>S17</x:v>
      </x:c>
      <x:c r="B21" s="48" t="str">
        <x:v>NTE / LBJ / NTE 35W</x:v>
      </x:c>
      <x:c r="C21" s="52" t="str">
        <x:v>FY2025; filed 2026</x:v>
      </x:c>
      <x:c r="D21" s="48" t="str">
        <x:v>Revenue, EBITDA, dividends, debt, ownership and lockups</x:v>
      </x:c>
      <x:c r="E21" s="48" t="str">
        <x:v>Ferrovial Factbook 2026</x:v>
      </x:c>
      <x:c r="F21" s="48" t="str">
        <x:v>SEC-filed issuer presentation</x:v>
      </x:c>
      <x:c r="G21" s="48" t="str">
        <x:v>https://www.sec.gov/Archives/edgar/data/1468522/000162828026032618/ferrovial-factbook2026_s.htm</x:v>
      </x:c>
      <x:c r="H21" s="48" t="str">
        <x:v>North American toll roads / DFW concessions</x:v>
      </x:c>
      <x:c r="I21" s="48" t="str">
        <x:v>$ millions / percentages</x:v>
      </x:c>
      <x:c r="J21" s="48" t="str">
        <x:v>Do not equate EBITDA with distributable cash; preserve project-level figures</x:v>
      </x:c>
      <x:c r="K21" s="48" t="str">
        <x:v>High for sponsor disclosures; not an audited project cash-flow statement</x:v>
      </x:c>
      <x:c r="L21" s="54" t="str">
        <x:v>2026-09-02</x:v>
      </x:c>
    </x:row>
    <x:row r="22">
      <x:c r="A22" s="56" t="str">
        <x:v>S18</x:v>
      </x:c>
      <x:c r="B22" s="56" t="str">
        <x:v>North Tarrant Express</x:v>
      </x:c>
      <x:c r="C22" s="57" t="str">
        <x:v>Current concession</x:v>
      </x:c>
      <x:c r="D22" s="56" t="str">
        <x:v>Project cost, finance stack, term and structure</x:v>
      </x:c>
      <x:c r="E22" s="56" t="str">
        <x:v>FHWA Project Profile: North Tarrant Express</x:v>
      </x:c>
      <x:c r="F22" s="56" t="str">
        <x:v>Federal project profile</x:v>
      </x:c>
      <x:c r="G22" s="56" t="str">
        <x:v>https://www.fhwa.dot.gov/ipd/project_profiles/tx_north_tarrant.aspx</x:v>
      </x:c>
      <x:c r="H22" s="56" t="str">
        <x:v>Project overview and financing</x:v>
      </x:c>
      <x:c r="I22" s="56" t="str">
        <x:v>$ millions / years</x:v>
      </x:c>
      <x:c r="J22" s="56" t="str">
        <x:v>Use for original financing and concession structure</x:v>
      </x:c>
      <x:c r="K22" s="56" t="str">
        <x:v>High; update current ownership separately</x:v>
      </x:c>
      <x:c r="L22" s="58" t="str">
        <x:v>2026-09-02</x:v>
      </x:c>
    </x:row>
    <x:row r="23">
      <x:c r="A23" s="48" t="str">
        <x:v>S19</x:v>
      </x:c>
      <x:c r="B23" s="48" t="str">
        <x:v>LBJ Express</x:v>
      </x:c>
      <x:c r="C23" s="52" t="str">
        <x:v>Current concession</x:v>
      </x:c>
      <x:c r="D23" s="48" t="str">
        <x:v>Project cost, finance stack, term and structure</x:v>
      </x:c>
      <x:c r="E23" s="48" t="str">
        <x:v>FHWA Project Profile: LBJ Express</x:v>
      </x:c>
      <x:c r="F23" s="48" t="str">
        <x:v>Federal project profile</x:v>
      </x:c>
      <x:c r="G23" s="48" t="str">
        <x:v>https://www.fhwa.dot.gov/ipd/project_profiles/tx_lbj_express.aspx</x:v>
      </x:c>
      <x:c r="H23" s="48" t="str">
        <x:v>Project overview and financing</x:v>
      </x:c>
      <x:c r="I23" s="48" t="str">
        <x:v>$ millions / years</x:v>
      </x:c>
      <x:c r="J23" s="48" t="str">
        <x:v>Use for original financing and concession structure</x:v>
      </x:c>
      <x:c r="K23" s="48" t="str">
        <x:v>High; update current ownership separately</x:v>
      </x:c>
      <x:c r="L23" s="54" t="str">
        <x:v>2026-09-02</x:v>
      </x:c>
    </x:row>
    <x:row r="24">
      <x:c r="A24" s="56" t="str">
        <x:v>S20</x:v>
      </x:c>
      <x:c r="B24" s="56" t="str">
        <x:v>NTE 35W</x:v>
      </x:c>
      <x:c r="C24" s="57" t="str">
        <x:v>Current concession</x:v>
      </x:c>
      <x:c r="D24" s="56" t="str">
        <x:v>3A/3B delivery split, finance stack, term and structure</x:v>
      </x:c>
      <x:c r="E24" s="56" t="str">
        <x:v>FHWA Project Profile: NTE 35W</x:v>
      </x:c>
      <x:c r="F24" s="56" t="str">
        <x:v>Federal project profile</x:v>
      </x:c>
      <x:c r="G24" s="56" t="str">
        <x:v>https://www.fhwa.dot.gov/ipd/project_profiles/tx_north_tarrant_3a3b.aspx</x:v>
      </x:c>
      <x:c r="H24" s="56" t="str">
        <x:v>Project overview and financing</x:v>
      </x:c>
      <x:c r="I24" s="56" t="str">
        <x:v>$ millions / years</x:v>
      </x:c>
      <x:c r="J24" s="56" t="str">
        <x:v>Separate privately financed 3A from publicly delivered 3B where material</x:v>
      </x:c>
      <x:c r="K24" s="56" t="str">
        <x:v>High; update current ownership separately</x:v>
      </x:c>
      <x:c r="L24" s="58" t="str">
        <x:v>2026-09-02</x:v>
      </x:c>
    </x:row>
    <x:row r="25">
      <x:c r="A25" s="48" t="str">
        <x:v>S21</x:v>
      </x:c>
      <x:c r="B25" s="48" t="str">
        <x:v>SH 130 Segments 5–6</x:v>
      </x:c>
      <x:c r="C25" s="52" t="str">
        <x:v>Current</x:v>
      </x:c>
      <x:c r="D25" s="48" t="str">
        <x:v>Responsible entity, public ownership and 50-year concession</x:v>
      </x:c>
      <x:c r="E25" s="48" t="str">
        <x:v>TxDOT SH 130 Project Page</x:v>
      </x:c>
      <x:c r="F25" s="48" t="str">
        <x:v>State agency primary page</x:v>
      </x:c>
      <x:c r="G25" s="48" t="str">
        <x:v>https://www.txdot.gov/business/road-bridge-maintenance/alternative-delivery/sh130.html</x:v>
      </x:c>
      <x:c r="H25" s="48" t="str">
        <x:v>Project overview</x:v>
      </x:c>
      <x:c r="I25" s="48" t="str">
        <x:v>Legal / descriptive</x:v>
      </x:c>
      <x:c r="J25" s="48" t="str">
        <x:v>Use responsible entity and term; do not infer ultimate equity chain</x:v>
      </x:c>
      <x:c r="K25" s="48" t="str">
        <x:v>High</x:v>
      </x:c>
      <x:c r="L25" s="54" t="str">
        <x:v>2026-09-02</x:v>
      </x:c>
    </x:row>
    <x:row r="26">
      <x:c r="A26" s="56" t="str">
        <x:v>S22</x:v>
      </x:c>
      <x:c r="B26" s="56" t="str">
        <x:v>SH 130 Segments 5–6</x:v>
      </x:c>
      <x:c r="C26" s="57" t="str">
        <x:v>Current agreement</x:v>
      </x:c>
      <x:c r="D26" s="56" t="str">
        <x:v>Executed facility concession agreement and amendments</x:v>
      </x:c>
      <x:c r="E26" s="56" t="str">
        <x:v>TxDOT SH 130 Executed Agreements</x:v>
      </x:c>
      <x:c r="F26" s="56" t="str">
        <x:v>Contract repository</x:v>
      </x:c>
      <x:c r="G26" s="56" t="str">
        <x:v>https://www.txdot.gov/business/road-bridge-maintenance/alternative-delivery/sh130/executed-agreements.html</x:v>
      </x:c>
      <x:c r="H26" s="56" t="str">
        <x:v>Facility Concession Agreement</x:v>
      </x:c>
      <x:c r="I26" s="56" t="str">
        <x:v>Legal text</x:v>
      </x:c>
      <x:c r="J26" s="56" t="str">
        <x:v>Use for toll rights, O&amp;M duties, revenue sharing, default and reversion</x:v>
      </x:c>
      <x:c r="K26" s="56" t="str">
        <x:v>High</x:v>
      </x:c>
      <x:c r="L26" s="58" t="str">
        <x:v>2026-09-02</x:v>
      </x:c>
    </x:row>
    <x:row r="27">
      <x:c r="A27" s="48" t="str">
        <x:v>S23</x:v>
      </x:c>
      <x:c r="B27" s="48" t="str">
        <x:v>SH 130 Segments 5–6</x:v>
      </x:c>
      <x:c r="C27" s="52" t="str">
        <x:v>Original financing / 2016–2017 restructuring</x:v>
      </x:c>
      <x:c r="D27" s="48" t="str">
        <x:v>Original project cost, finance and bankruptcy history</x:v>
      </x:c>
      <x:c r="E27" s="48" t="str">
        <x:v>Build America: SH 130 Segments 5 and 6</x:v>
      </x:c>
      <x:c r="F27" s="48" t="str">
        <x:v>USDOT project profile</x:v>
      </x:c>
      <x:c r="G27" s="48" t="str">
        <x:v>https://www.transportation.gov/buildamerica/projects/sh-130-segments-5-and-6</x:v>
      </x:c>
      <x:c r="H27" s="48" t="str">
        <x:v>Project financing and TIFIA summary</x:v>
      </x:c>
      <x:c r="I27" s="48" t="str">
        <x:v>$ millions / dates</x:v>
      </x:c>
      <x:c r="J27" s="48" t="str">
        <x:v>Use for financing and restructuring context</x:v>
      </x:c>
      <x:c r="K27" s="48" t="str">
        <x:v>High for federal finance terms</x:v>
      </x:c>
      <x:c r="L27" s="54" t="str">
        <x:v>2026-09-02</x:v>
      </x:c>
    </x:row>
    <x:row r="28">
      <x:c r="A28" s="56" t="str">
        <x:v>S24</x:v>
      </x:c>
      <x:c r="B28" s="56" t="str">
        <x:v>SH 130 Segments 5–6</x:v>
      </x:c>
      <x:c r="C28" s="57" t="str">
        <x:v>Current</x:v>
      </x:c>
      <x:c r="D28" s="56" t="str">
        <x:v>Current operator/company description</x:v>
      </x:c>
      <x:c r="E28" s="56" t="str">
        <x:v>SH 130 Concession Company — About</x:v>
      </x:c>
      <x:c r="F28" s="56" t="str">
        <x:v>Concession company primary page</x:v>
      </x:c>
      <x:c r="G28" s="56" t="str">
        <x:v>https://mysh130.com/about/</x:v>
      </x:c>
      <x:c r="H28" s="56" t="str">
        <x:v>Company / operator description</x:v>
      </x:c>
      <x:c r="I28" s="56" t="str">
        <x:v>Descriptive</x:v>
      </x:c>
      <x:c r="J28" s="56" t="str">
        <x:v>Use only for company identity; ultimate equity remains unresolved</x:v>
      </x:c>
      <x:c r="K28" s="56" t="str">
        <x:v>Medium-high</x:v>
      </x:c>
      <x:c r="L28" s="58" t="str">
        <x:v>2026-09-02</x:v>
      </x:c>
    </x:row>
    <x:row r="29">
      <x:c r="A29" s="48" t="str">
        <x:v>S25</x:v>
      </x:c>
      <x:c r="B29" s="48" t="str">
        <x:v>FBCTRA</x:v>
      </x:c>
      <x:c r="C29" s="52" t="str">
        <x:v>FY2025</x:v>
      </x:c>
      <x:c r="D29" s="48" t="str">
        <x:v>Audited revenue, expense, debt and reserve balances</x:v>
      </x:c>
      <x:c r="E29" s="48" t="str">
        <x:v>Fort Bend County Toll Road Authority FY2025 Financial Report</x:v>
      </x:c>
      <x:c r="F29" s="48" t="str">
        <x:v>Audited authority report</x:v>
      </x:c>
      <x:c r="G29" s="48" t="str">
        <x:v>https://transparencydocs.fortbendcountytx.gov/Traditional_Finances/2025/FY2025_FBCTRA.pdf</x:v>
      </x:c>
      <x:c r="H29" s="48" t="str">
        <x:v>Basic financial statements and notes</x:v>
      </x:c>
      <x:c r="I29" s="48" t="str">
        <x:v>Dollars</x:v>
      </x:c>
      <x:c r="J29" s="48" t="str">
        <x:v>Divide by 1,000,000; no cash-flow allocation where unavailable</x:v>
      </x:c>
      <x:c r="K29" s="48" t="str">
        <x:v>High; direct PDF blocks crawler</x:v>
      </x:c>
      <x:c r="L29" s="54" t="str">
        <x:v>2026-09-02</x:v>
      </x:c>
    </x:row>
    <x:row r="30">
      <x:c r="A30" s="56" t="str">
        <x:v>S26</x:v>
      </x:c>
      <x:c r="B30" s="56" t="str">
        <x:v>FBGPTRA</x:v>
      </x:c>
      <x:c r="C30" s="57" t="str">
        <x:v>FY2025</x:v>
      </x:c>
      <x:c r="D30" s="56" t="str">
        <x:v>Separate audited authority revenue, expense and debt</x:v>
      </x:c>
      <x:c r="E30" s="56" t="str">
        <x:v>Fort Bend Grand Parkway Toll Road Authority FY2025 Financial Report</x:v>
      </x:c>
      <x:c r="F30" s="56" t="str">
        <x:v>Audited authority report</x:v>
      </x:c>
      <x:c r="G30" s="56" t="str">
        <x:v>https://transparencydocs.fortbendcountytx.gov/Traditional_Finances/2025/FY2025_FBGPTRA.pdf</x:v>
      </x:c>
      <x:c r="H30" s="56" t="str">
        <x:v>Basic financial statements and notes</x:v>
      </x:c>
      <x:c r="I30" s="56" t="str">
        <x:v>Dollars</x:v>
      </x:c>
      <x:c r="J30" s="56" t="str">
        <x:v>Keep separate from FBCTRA and countywide figures</x:v>
      </x:c>
      <x:c r="K30" s="56" t="str">
        <x:v>High; direct PDF blocks crawler</x:v>
      </x:c>
      <x:c r="L30" s="58" t="str">
        <x:v>2026-09-02</x:v>
      </x:c>
    </x:row>
    <x:row r="31">
      <x:c r="A31" s="48" t="str">
        <x:v>S27</x:v>
      </x:c>
      <x:c r="B31" s="48" t="str">
        <x:v>Regional mobility authorities</x:v>
      </x:c>
      <x:c r="C31" s="52" t="str">
        <x:v>Current code</x:v>
      </x:c>
      <x:c r="D31" s="48" t="str">
        <x:v>Surplus use after required payments</x:v>
      </x:c>
      <x:c r="E31" s="48" t="str">
        <x:v>Texas Transportation Code Chapter 370</x:v>
      </x:c>
      <x:c r="F31" s="48" t="str">
        <x:v>Texas statute</x:v>
      </x:c>
      <x:c r="G31" s="48" t="str">
        <x:v>https://statutes.capitol.texas.gov/Docs/TN/htm/TN.370.htm</x:v>
      </x:c>
      <x:c r="H31" s="48" t="str">
        <x:v>§370.174</x:v>
      </x:c>
      <x:c r="I31" s="48" t="str">
        <x:v>Legal text</x:v>
      </x:c>
      <x:c r="J31" s="48" t="str">
        <x:v>Classify reduce-toll, reserve and other-transportation-project options</x:v>
      </x:c>
      <x:c r="K31" s="48" t="str">
        <x:v>Controlling statute</x:v>
      </x:c>
      <x:c r="L31" s="54" t="str">
        <x:v>2026-09-02</x:v>
      </x:c>
    </x:row>
    <x:row r="32">
      <x:c r="A32" s="56" t="str">
        <x:v>S28</x:v>
      </x:c>
      <x:c r="B32" s="56" t="str">
        <x:v>NTTA</x:v>
      </x:c>
      <x:c r="C32" s="57" t="str">
        <x:v>Current code</x:v>
      </x:c>
      <x:c r="D32" s="56" t="str">
        <x:v>Regional tollway authority powers and surplus limitations</x:v>
      </x:c>
      <x:c r="E32" s="56" t="str">
        <x:v>Texas Transportation Code Chapter 366</x:v>
      </x:c>
      <x:c r="F32" s="56" t="str">
        <x:v>Texas statute</x:v>
      </x:c>
      <x:c r="G32" s="56" t="str">
        <x:v>https://statutes.capitol.texas.gov/Docs/TN/htm/TN.366.htm</x:v>
      </x:c>
      <x:c r="H32" s="56" t="str">
        <x:v>§366.407 and related bond/toll provisions</x:v>
      </x:c>
      <x:c r="I32" s="56" t="str">
        <x:v>Legal text</x:v>
      </x:c>
      <x:c r="J32" s="56" t="str">
        <x:v>Read subject to trust agreement and outstanding bond covenants</x:v>
      </x:c>
      <x:c r="K32" s="56" t="str">
        <x:v>Controlling statute</x:v>
      </x:c>
      <x:c r="L32" s="58" t="str">
        <x:v>2026-09-02</x:v>
      </x:c>
    </x:row>
    <x:row r="33">
      <x:c r="A33" s="48" t="str">
        <x:v>S29</x:v>
      </x:c>
      <x:c r="B33" s="48" t="str">
        <x:v>TxDOT toll systems</x:v>
      </x:c>
      <x:c r="C33" s="52" t="str">
        <x:v>Current code</x:v>
      </x:c>
      <x:c r="D33" s="48" t="str">
        <x:v>Use of surplus toll revenue</x:v>
      </x:c>
      <x:c r="E33" s="48" t="str">
        <x:v>Texas Transportation Code Chapter 228</x:v>
      </x:c>
      <x:c r="F33" s="48" t="str">
        <x:v>Texas statute</x:v>
      </x:c>
      <x:c r="G33" s="48" t="str">
        <x:v>https://statutes.capitol.texas.gov/Docs/TN/htm/TN.228.htm</x:v>
      </x:c>
      <x:c r="H33" s="48" t="str">
        <x:v>§228.006</x:v>
      </x:c>
      <x:c r="I33" s="48" t="str">
        <x:v>Legal text</x:v>
      </x:c>
      <x:c r="J33" s="48" t="str">
        <x:v>Separate commission-authorized use from bond-required reserves</x:v>
      </x:c>
      <x:c r="K33" s="48" t="str">
        <x:v>Controlling statute</x:v>
      </x:c>
      <x:c r="L33" s="54" t="str">
        <x:v>2026-09-02</x:v>
      </x:c>
    </x:row>
  </x:sheetData>
  <x:mergeCells>
    <x:mergeCell ref="A1:L1"/>
    <x:mergeCell ref="A2:L2"/>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3" hidden="0" customWidth="1"/>
    <x:col min="3" max="3" width="32" hidden="0" customWidth="1"/>
    <x:col min="4" max="4" width="14" hidden="0" customWidth="1"/>
    <x:col min="5" max="5" width="17" hidden="0" customWidth="1"/>
    <x:col min="6" max="6" width="17" hidden="0" customWidth="1"/>
    <x:col min="7" max="7" width="12" hidden="0" customWidth="1"/>
    <x:col min="8" max="8" width="14" hidden="0" customWidth="1"/>
    <x:col min="9" max="9" width="14" hidden="0" customWidth="1"/>
    <x:col min="10" max="10" width="15" hidden="0" customWidth="1"/>
    <x:col min="11" max="11" width="15" hidden="0" customWidth="1"/>
    <x:col min="12" max="12" width="12" hidden="0" customWidth="1"/>
    <x:col min="13" max="13" width="36" hidden="0" customWidth="1"/>
    <x:col min="14" max="14" width="36" hidden="0" customWidth="1"/>
    <x:col min="15" max="15" width="38" hidden="0" customWidth="1"/>
    <x:col min="16" max="16" width="31" hidden="0" customWidth="1"/>
    <x:col min="17" max="17" width="24" hidden="0" customWidth="1"/>
    <x:col min="18" max="18" width="16" hidden="0" customWidth="1"/>
  </x:cols>
  <x:sheetData>
    <x:row r="1" ht="28" customHeight="1">
      <x:c r="A1" s="5" t="str">
        <x:v>Texas Toll-System Comparison</x:v>
      </x:c>
      <x:c r="B1" s="5"/>
      <x:c r="C1" s="5"/>
      <x:c r="D1" s="5"/>
      <x:c r="E1" s="5"/>
      <x:c r="F1" s="5"/>
      <x:c r="G1" s="5"/>
      <x:c r="H1" s="5"/>
      <x:c r="I1" s="5"/>
      <x:c r="J1" s="5"/>
      <x:c r="K1" s="5"/>
      <x:c r="L1" s="5"/>
      <x:c r="M1" s="5"/>
      <x:c r="N1" s="5"/>
      <x:c r="O1" s="5"/>
      <x:c r="P1" s="5"/>
      <x:c r="Q1" s="5"/>
      <x:c r="R1" s="5"/>
    </x:row>
    <x:row r="2" ht="34" customHeight="1">
      <x:c r="A2" s="13" t="str">
        <x:v>Material public systems only. Each row retains its own fiscal year, reporting entity and accounting basis. No statewide denominator is claimed.</x:v>
      </x:c>
      <x:c r="B2" s="13"/>
      <x:c r="C2" s="13"/>
      <x:c r="D2" s="13"/>
      <x:c r="E2" s="13"/>
      <x:c r="F2" s="13"/>
      <x:c r="G2" s="13"/>
      <x:c r="H2" s="13"/>
      <x:c r="I2" s="13"/>
      <x:c r="J2" s="13"/>
      <x:c r="K2" s="13"/>
      <x:c r="L2" s="13"/>
      <x:c r="M2" s="13"/>
      <x:c r="N2" s="13"/>
      <x:c r="O2" s="13"/>
      <x:c r="P2" s="13"/>
      <x:c r="Q2" s="13"/>
      <x:c r="R2" s="13"/>
    </x:row>
    <x:row r="4" ht="30" customHeight="1">
      <x:c r="A4" s="29" t="str">
        <x:v>System</x:v>
      </x:c>
      <x:c r="B4" s="30" t="str">
        <x:v>Fiscal year end</x:v>
      </x:c>
      <x:c r="C4" s="30" t="str">
        <x:v>Reporting entity</x:v>
      </x:c>
      <x:c r="D4" s="30" t="str">
        <x:v>Toll revenue ($mm)</x:v>
      </x:c>
      <x:c r="E4" s="30" t="str">
        <x:v>Cash / coverage denominator ($mm)</x:v>
      </x:c>
      <x:c r="F4" s="30" t="str">
        <x:v>Operating expense excl. D&amp;A ($mm)</x:v>
      </x:c>
      <x:c r="G4" s="30" t="str">
        <x:v>D&amp;A ($mm)</x:v>
      </x:c>
      <x:c r="H4" s="30" t="str">
        <x:v>Debt service ($mm)</x:v>
      </x:c>
      <x:c r="I4" s="30" t="str">
        <x:v>Transfers out ($mm)</x:v>
      </x:c>
      <x:c r="J4" s="30" t="str">
        <x:v>Capital spending ($mm)</x:v>
      </x:c>
      <x:c r="K4" s="30" t="str">
        <x:v>Debt principal ($mm)</x:v>
      </x:c>
      <x:c r="L4" s="30" t="str">
        <x:v>Coverage (x)</x:v>
      </x:c>
      <x:c r="M4" s="30" t="str">
        <x:v>Revenue pledge / pooling</x:v>
      </x:c>
      <x:c r="N4" s="30" t="str">
        <x:v>Toll decision-maker</x:v>
      </x:c>
      <x:c r="O4" s="30" t="str">
        <x:v>Automatic construction-cost sunset?</x:v>
      </x:c>
      <x:c r="P4" s="30" t="str">
        <x:v>Exact $100 stack?</x:v>
      </x:c>
      <x:c r="Q4" s="30" t="str">
        <x:v>Confidence</x:v>
      </x:c>
      <x:c r="R4" s="31" t="str">
        <x:v>Primary sources</x:v>
      </x:c>
    </x:row>
    <x:row r="5">
      <x:c r="A5" s="68" t="str">
        <x:v>North Texas Tollway Authority</x:v>
      </x:c>
      <x:c r="B5" s="54" t="str">
        <x:v>2025-12-31</x:v>
      </x:c>
      <x:c r="C5" s="48" t="str">
        <x:v>NTTA System</x:v>
      </x:c>
      <x:c r="D5" s="104" t="n">
        <x:f>'03_Accounting_View'!B6</x:f>
        <x:v>1253</x:v>
      </x:c>
      <x:c r="E5" s="104" t="n">
        <x:f>'03_Accounting_View'!B9</x:f>
        <x:v>1357.531582</x:v>
      </x:c>
      <x:c r="F5" s="104" t="n">
        <x:f>'03_Accounting_View'!B10</x:f>
        <x:v>252.666493</x:v>
      </x:c>
      <x:c r="G5" s="104"/>
      <x:c r="H5" s="74" t="n">
        <x:v>675.7</x:v>
      </x:c>
      <x:c r="I5" s="104"/>
      <x:c r="J5" s="104" t="n">
        <x:f>'04_Cash_Waterfall'!B20</x:f>
        <x:v>200.493449</x:v>
      </x:c>
      <x:c r="K5" s="104" t="n">
        <x:f>'03_Accounting_View'!B23</x:f>
        <x:v>8519</x:v>
      </x:c>
      <x:c r="L5" s="128" t="n">
        <x:f>'03_Accounting_View'!B24</x:f>
        <x:v>1.64</x:v>
      </x:c>
      <x:c r="M5" s="48" t="str">
        <x:v>System-wide Trust pledge; roads and revenues support pooled obligations</x:v>
      </x:c>
      <x:c r="N5" s="48" t="str">
        <x:v>NTTA Board, constrained by statute, Trust Agreement and bond covenants</x:v>
      </x:c>
      <x:c r="O5" s="48" t="str">
        <x:v>No fixed construction-cost sunset identified</x:v>
      </x:c>
      <x:c r="P5" s="48" t="str">
        <x:v>Yes — recurring obligations using gross Trust revenue; residual is algebraic and unallocated</x:v>
      </x:c>
      <x:c r="Q5" s="48" t="str">
        <x:v>High for audited headline; MFR detail preliminary; residual is calculated, not a fund allocation</x:v>
      </x:c>
      <x:c r="R5" s="48" t="str">
        <x:v>S01–S04</x:v>
      </x:c>
    </x:row>
    <x:row r="6">
      <x:c r="A6" s="78" t="str">
        <x:v>Harris County Toll Road Authority</x:v>
      </x:c>
      <x:c r="B6" s="58" t="str">
        <x:v>2025-09-30</x:v>
      </x:c>
      <x:c r="C6" s="56" t="str">
        <x:v>Harris County enterprise fund — Toll Road Authority</x:v>
      </x:c>
      <x:c r="D6" s="106" t="n">
        <x:f>'03_Accounting_View'!C6</x:f>
        <x:v>1027.57329</x:v>
      </x:c>
      <x:c r="E6" s="106" t="n">
        <x:f>'04_Cash_Waterfall'!C7</x:f>
        <x:v>995.739823</x:v>
      </x:c>
      <x:c r="F6" s="106" t="n">
        <x:f>'03_Accounting_View'!C10</x:f>
        <x:v>427.168949</x:v>
      </x:c>
      <x:c r="G6" s="106" t="n">
        <x:f>'03_Accounting_View'!C14</x:f>
        <x:v>115.504655</x:v>
      </x:c>
      <x:c r="H6" s="82" t="n">
        <x:f>SUM('04_Cash_Waterfall'!C17:C18)</x:f>
        <x:v>242.012763</x:v>
      </x:c>
      <x:c r="I6" s="106" t="n">
        <x:f>'04_Cash_Waterfall'!C21</x:f>
        <x:v>398.613674</x:v>
      </x:c>
      <x:c r="J6" s="106" t="n">
        <x:f>'04_Cash_Waterfall'!C20</x:f>
        <x:v>315.269617</x:v>
      </x:c>
      <x:c r="K6" s="106" t="n">
        <x:f>'03_Accounting_View'!C23</x:f>
        <x:v>2759.265</x:v>
      </x:c>
      <x:c r="L6" s="130" t="n">
        <x:f>'03_Accounting_View'!C24</x:f>
        <x:v>5.1</x:v>
      </x:c>
      <x:c r="M6" s="56" t="str">
        <x:v>Senior toll-revenue pledge at system level; tax bonds also have ad valorem support and subordinate toll pledge</x:v>
      </x:c>
      <x:c r="N6" s="56" t="str">
        <x:v>Harris County Commissioners Court / authorized toll-road governance</x:v>
      </x:c>
      <x:c r="O6" s="56" t="str">
        <x:v>Chapter 284 has a conditional payoff/handoff rule; §284.008(d) exceptions must be checked project by project</x:v>
      </x:c>
      <x:c r="P6" s="56" t="str">
        <x:v>No — uses also draw on prior cash, investment activity and new CP</x:v>
      </x:c>
      <x:c r="Q6" s="56" t="str">
        <x:v>High</x:v>
      </x:c>
      <x:c r="R6" s="56" t="str">
        <x:v>S05–S07</x:v>
      </x:c>
    </x:row>
    <x:row r="7">
      <x:c r="A7" s="68" t="str">
        <x:v>Central Texas Regional Mobility Authority</x:v>
      </x:c>
      <x:c r="B7" s="54" t="str">
        <x:v>2025-06-30</x:v>
      </x:c>
      <x:c r="C7" s="48" t="str">
        <x:v>CTRMA</x:v>
      </x:c>
      <x:c r="D7" s="104" t="n">
        <x:f>'03_Accounting_View'!D6</x:f>
        <x:v>276.4</x:v>
      </x:c>
      <x:c r="E7" s="104" t="n">
        <x:f>'04_Cash_Waterfall'!D7</x:f>
        <x:v>270.908866</x:v>
      </x:c>
      <x:c r="F7" s="104" t="n">
        <x:f>'03_Accounting_View'!D10</x:f>
        <x:v>61.313342</x:v>
      </x:c>
      <x:c r="G7" s="104" t="n">
        <x:f>'03_Accounting_View'!D14</x:f>
        <x:v>64.855913</x:v>
      </x:c>
      <x:c r="H7" s="70" t="n">
        <x:f>SUM('04_Cash_Waterfall'!D17:D18)</x:f>
        <x:v>137.340769</x:v>
      </x:c>
      <x:c r="I7" s="104" t="n">
        <x:f>'04_Cash_Waterfall'!D21</x:f>
        <x:v>10</x:v>
      </x:c>
      <x:c r="J7" s="104" t="n">
        <x:f>'04_Cash_Waterfall'!D20</x:f>
        <x:v>242.708879</x:v>
      </x:c>
      <x:c r="K7" s="104" t="n">
        <x:f>'03_Accounting_View'!D23</x:f>
        <x:v>2448</x:v>
      </x:c>
      <x:c r="L7" s="128" t="n">
        <x:f>'03_Accounting_View'!D24</x:f>
        <x:v>2.28</x:v>
      </x:c>
      <x:c r="M7" s="48" t="str">
        <x:v>System revenue bonds plus project-specific loans and subordinate obligations</x:v>
      </x:c>
      <x:c r="N7" s="48" t="str">
        <x:v>CTRMA Board under Chapter 370 and financing documents</x:v>
      </x:c>
      <x:c r="O7" s="48" t="str">
        <x:v>No automatic construction-cost sunset; §370.174 governs post-obligation surplus options</x:v>
      </x:c>
      <x:c r="P7" s="48" t="str">
        <x:v>No — audited headline and detailed unaudited schedule do not reconcile</x:v>
      </x:c>
      <x:c r="Q7" s="48" t="str">
        <x:v>Medium-high</x:v>
      </x:c>
      <x:c r="R7" s="48" t="str">
        <x:v>S08–S10, S27</x:v>
      </x:c>
    </x:row>
    <x:row r="8">
      <x:c r="A8" s="78" t="str">
        <x:v>Central Texas Turnpike System</x:v>
      </x:c>
      <x:c r="B8" s="58" t="str">
        <x:v>2025-08-31</x:v>
      </x:c>
      <x:c r="C8" s="56" t="str">
        <x:v>TxDOT / CTTS</x:v>
      </x:c>
      <x:c r="D8" s="106" t="n">
        <x:f>'03_Accounting_View'!E6</x:f>
        <x:v>337.64</x:v>
      </x:c>
      <x:c r="E8" s="106" t="n">
        <x:f>'03_Accounting_View'!E8</x:f>
        <x:v>337.64</x:v>
      </x:c>
      <x:c r="F8" s="106" t="n">
        <x:f>'03_Accounting_View'!E10</x:f>
        <x:v>101.87</x:v>
      </x:c>
      <x:c r="G8" s="106"/>
      <x:c r="H8" s="82" t="n">
        <x:f>'04_Cash_Waterfall'!E18</x:f>
        <x:v>160.34</x:v>
      </x:c>
      <x:c r="I8" s="106"/>
      <x:c r="J8" s="106"/>
      <x:c r="K8" s="106"/>
      <x:c r="L8" s="130"/>
      <x:c r="M8" s="56" t="str">
        <x:v>CTTS system revenue pledge and bond-required reserves</x:v>
      </x:c>
      <x:c r="N8" s="56" t="str">
        <x:v>Texas Transportation Commission / TxDOT under bond documents</x:v>
      </x:c>
      <x:c r="O8" s="56" t="str">
        <x:v>No automatic construction-cost sunset identified</x:v>
      </x:c>
      <x:c r="P8" s="56" t="str">
        <x:v>Yes — HB803 recurring revenue obligations</x:v>
      </x:c>
      <x:c r="Q8" s="56" t="str">
        <x:v>High</x:v>
      </x:c>
      <x:c r="R8" s="56" t="str">
        <x:v>S11–S12, S29</x:v>
      </x:c>
    </x:row>
    <x:row r="9">
      <x:c r="A9" s="68" t="str">
        <x:v>Grand Parkway System</x:v>
      </x:c>
      <x:c r="B9" s="54" t="str">
        <x:v>2025-08-31</x:v>
      </x:c>
      <x:c r="C9" s="48" t="str">
        <x:v>TxDOT / Grand Parkway Transportation Corporation</x:v>
      </x:c>
      <x:c r="D9" s="104" t="n">
        <x:f>'03_Accounting_View'!F6</x:f>
        <x:v>393.32</x:v>
      </x:c>
      <x:c r="E9" s="104" t="n">
        <x:f>'03_Accounting_View'!F8</x:f>
        <x:v>393.32</x:v>
      </x:c>
      <x:c r="F9" s="104" t="n">
        <x:f>'03_Accounting_View'!F10</x:f>
        <x:v>59.11</x:v>
      </x:c>
      <x:c r="G9" s="104"/>
      <x:c r="H9" s="70" t="n">
        <x:f>'04_Cash_Waterfall'!F18</x:f>
        <x:v>175.38</x:v>
      </x:c>
      <x:c r="I9" s="104"/>
      <x:c r="J9" s="104"/>
      <x:c r="K9" s="104"/>
      <x:c r="L9" s="128"/>
      <x:c r="M9" s="48" t="str">
        <x:v>Grand Parkway system pledge and bond-required reserves</x:v>
      </x:c>
      <x:c r="N9" s="48" t="str">
        <x:v>Texas Transportation Commission / GPTC under bond documents</x:v>
      </x:c>
      <x:c r="O9" s="48" t="str">
        <x:v>No automatic construction-cost sunset identified</x:v>
      </x:c>
      <x:c r="P9" s="48" t="str">
        <x:v>Yes — HB803 recurring revenue obligations</x:v>
      </x:c>
      <x:c r="Q9" s="48" t="str">
        <x:v>High</x:v>
      </x:c>
      <x:c r="R9" s="48" t="str">
        <x:v>S11–S12, S29</x:v>
      </x:c>
    </x:row>
    <x:row r="10">
      <x:c r="A10" s="78" t="str">
        <x:v>Fort Bend County Toll Road Authority</x:v>
      </x:c>
      <x:c r="B10" s="58" t="str">
        <x:v>2025-09-30</x:v>
      </x:c>
      <x:c r="C10" s="56" t="str">
        <x:v>FBCTRA local government corporation / county component unit</x:v>
      </x:c>
      <x:c r="D10" s="106" t="n">
        <x:f>'03_Accounting_View'!G6</x:f>
        <x:v>68.541996</x:v>
      </x:c>
      <x:c r="E10" s="106"/>
      <x:c r="F10" s="106" t="n">
        <x:f>'03_Accounting_View'!G10</x:f>
        <x:v>19.54524</x:v>
      </x:c>
      <x:c r="G10" s="106" t="n">
        <x:f>'03_Accounting_View'!G14</x:f>
        <x:v>8.903593</x:v>
      </x:c>
      <x:c r="H10" s="82"/>
      <x:c r="I10" s="106"/>
      <x:c r="J10" s="106"/>
      <x:c r="K10" s="106" t="n">
        <x:f>'03_Accounting_View'!G23</x:f>
        <x:v>526.91</x:v>
      </x:c>
      <x:c r="L10" s="130"/>
      <x:c r="M10" s="56" t="str">
        <x:v>Authority-specific toll revenue and bonds; keep separate from FBGPTRA</x:v>
      </x:c>
      <x:c r="N10" s="56" t="str">
        <x:v>Authority directors with Commissioners Court approval/control</x:v>
      </x:c>
      <x:c r="O10" s="56" t="str">
        <x:v>Chapter 284 conditional rule applies subject to bonds and any project-specific orders</x:v>
      </x:c>
      <x:c r="P10" s="56" t="str">
        <x:v>No — no complete cash waterfall captured</x:v>
      </x:c>
      <x:c r="Q10" s="56" t="str">
        <x:v>High for accounting; cash unavailable</x:v>
      </x:c>
      <x:c r="R10" s="56" t="str">
        <x:v>S25, S06</x:v>
      </x:c>
    </x:row>
    <x:row r="11">
      <x:c r="A11" s="68" t="str">
        <x:v>Fort Bend Grand Parkway Toll Road Authority</x:v>
      </x:c>
      <x:c r="B11" s="54" t="str">
        <x:v>2025-09-30</x:v>
      </x:c>
      <x:c r="C11" s="48" t="str">
        <x:v>FBGPTRA — separate local government corporation</x:v>
      </x:c>
      <x:c r="D11" s="104"/>
      <x:c r="E11" s="104"/>
      <x:c r="F11" s="104"/>
      <x:c r="G11" s="104"/>
      <x:c r="H11" s="70"/>
      <x:c r="I11" s="104"/>
      <x:c r="J11" s="104"/>
      <x:c r="K11" s="104"/>
      <x:c r="L11" s="128"/>
      <x:c r="M11" s="48" t="str">
        <x:v>Separate authority and debt; do not combine with FBCTRA</x:v>
      </x:c>
      <x:c r="N11" s="48" t="str">
        <x:v>Authority directors with Commissioners Court approval/control</x:v>
      </x:c>
      <x:c r="O11" s="48" t="str">
        <x:v>Chapter 284 conditional rule applies subject to bonds and any project-specific orders</x:v>
      </x:c>
      <x:c r="P11" s="48" t="str">
        <x:v>No — separate authority; exact publication figures withheld pending page-level capture</x:v>
      </x:c>
      <x:c r="Q11" s="48" t="str">
        <x:v>High for separate-entity status; financial amounts withheld</x:v>
      </x:c>
      <x:c r="R11" s="48" t="str">
        <x:v>S26, S06</x:v>
      </x:c>
    </x:row>
    <x:row r="13">
      <x:c r="A13" s="99" t="str">
        <x:v>Reading control: “project cost recovered,” “road debt-free,” “system debt-free,” “legal authority to toll,” and “contractual concession rights” are five separate questions. This table does not infer that paying one balance extinguishes the others.</x:v>
      </x:c>
      <x:c r="B13" s="99"/>
      <x:c r="C13" s="99"/>
      <x:c r="D13" s="99"/>
      <x:c r="E13" s="99"/>
      <x:c r="F13" s="99"/>
      <x:c r="G13" s="99"/>
      <x:c r="H13" s="99"/>
      <x:c r="I13" s="99"/>
      <x:c r="J13" s="99"/>
      <x:c r="K13" s="99"/>
      <x:c r="L13" s="99"/>
      <x:c r="M13" s="99"/>
      <x:c r="N13" s="99"/>
      <x:c r="O13" s="99"/>
      <x:c r="P13" s="99"/>
      <x:c r="Q13" s="99"/>
      <x:c r="R13" s="99"/>
    </x:row>
    <x:row r="14">
      <x:c r="A14" s="99"/>
      <x:c r="B14" s="99"/>
      <x:c r="C14" s="99"/>
      <x:c r="D14" s="99"/>
      <x:c r="E14" s="99"/>
      <x:c r="F14" s="99"/>
      <x:c r="G14" s="99"/>
      <x:c r="H14" s="99"/>
      <x:c r="I14" s="99"/>
      <x:c r="J14" s="99"/>
      <x:c r="K14" s="99"/>
      <x:c r="L14" s="99"/>
      <x:c r="M14" s="99"/>
      <x:c r="N14" s="99"/>
      <x:c r="O14" s="99"/>
      <x:c r="P14" s="99"/>
      <x:c r="Q14" s="99"/>
      <x:c r="R14" s="99"/>
    </x:row>
    <x:row r="15">
      <x:c r="A15" s="99"/>
      <x:c r="B15" s="99"/>
      <x:c r="C15" s="99"/>
      <x:c r="D15" s="99"/>
      <x:c r="E15" s="99"/>
      <x:c r="F15" s="99"/>
      <x:c r="G15" s="99"/>
      <x:c r="H15" s="99"/>
      <x:c r="I15" s="99"/>
      <x:c r="J15" s="99"/>
      <x:c r="K15" s="99"/>
      <x:c r="L15" s="99"/>
      <x:c r="M15" s="99"/>
      <x:c r="N15" s="99"/>
      <x:c r="O15" s="99"/>
      <x:c r="P15" s="99"/>
      <x:c r="Q15" s="99"/>
      <x:c r="R15" s="99"/>
    </x:row>
  </x:sheetData>
  <x:mergeCells>
    <x:mergeCell ref="A1:R1"/>
    <x:mergeCell ref="A2:R2"/>
    <x:mergeCell ref="A13:R15"/>
  </x:mergeCells>
  <x:conditionalFormatting sqref="Q5:Q11">
    <x:cfRule type="expression" dxfId="0" priority="1">
      <x:formula>LEFT(Q5,4)="High"</x:formula>
    </x:cfRule>
    <x:cfRule type="expression" dxfId="1" priority="2">
      <x:formula>LEFT(Q5,6)="Medium"</x:formula>
    </x:cfRule>
  </x:conditionalFormatting>
  <x:pageMargins left="0.7" right="0.7" top="0.75" bottom="0.75" header="0.3" footer="0.3"/>
  <x:legacyDrawing xmlns:r="http://schemas.openxmlformats.org/officeDocument/2006/relationships" r:id="R119426ddf17b44ad"/>
</x:worksheet>
</file>

<file path=xl/worksheets/sheet4.xml><?xml version="1.0" encoding="utf-8"?>
<x:worksheet xmlns:x="http://schemas.openxmlformats.org/spreadsheetml/2006/main">
  <x:sheetFormatPr defaultRowHeight="15"/>
  <x:cols>
    <x:col min="1" max="1" width="34" hidden="0" customWidth="1"/>
    <x:col min="2" max="2" width="15" hidden="0" customWidth="1"/>
    <x:col min="3" max="3" width="15" hidden="0" customWidth="1"/>
    <x:col min="4" max="4" width="15" hidden="0" customWidth="1"/>
    <x:col min="5" max="5" width="15" hidden="0" customWidth="1"/>
    <x:col min="6" max="6" width="17" hidden="0" customWidth="1"/>
    <x:col min="7" max="7" width="15" hidden="0" customWidth="1"/>
    <x:col min="8" max="8" width="16" hidden="0" customWidth="1"/>
    <x:col min="9" max="9" width="48" hidden="0" customWidth="1"/>
  </x:cols>
  <x:sheetData>
    <x:row r="1" ht="28" customHeight="1">
      <x:c r="A1" s="5" t="str">
        <x:v>Accounting View — Latest Available Fiscal Year</x:v>
      </x:c>
      <x:c r="B1" s="5"/>
      <x:c r="C1" s="5"/>
      <x:c r="D1" s="5"/>
      <x:c r="E1" s="5"/>
      <x:c r="F1" s="5"/>
      <x:c r="G1" s="5"/>
      <x:c r="H1" s="5"/>
      <x:c r="I1" s="5"/>
    </x:row>
    <x:row r="2" ht="34" customHeight="1">
      <x:c r="A2" s="13" t="str">
        <x:v>Accrual accounting. Depreciation is noncash; principal repayment is not an income-statement expense. Blank cells mean unavailable, not zero.</x:v>
      </x:c>
      <x:c r="B2" s="13"/>
      <x:c r="C2" s="13"/>
      <x:c r="D2" s="13"/>
      <x:c r="E2" s="13"/>
      <x:c r="F2" s="13"/>
      <x:c r="G2" s="13"/>
      <x:c r="H2" s="13"/>
      <x:c r="I2" s="13"/>
    </x:row>
    <x:row r="4" ht="30" customHeight="1">
      <x:c r="A4" s="29" t="str">
        <x:v>Metric ($mm unless stated)</x:v>
      </x:c>
      <x:c r="B4" s="30" t="str">
        <x:v>NTTA FY2025
12/31/2025</x:v>
      </x:c>
      <x:c r="C4" s="30" t="str">
        <x:v>HCTRA FY2025
9/30/2025</x:v>
      </x:c>
      <x:c r="D4" s="30" t="str">
        <x:v>CTRMA FY2025
6/30/2025</x:v>
      </x:c>
      <x:c r="E4" s="30" t="str">
        <x:v>CTTS FY2025
8/31/2025</x:v>
      </x:c>
      <x:c r="F4" s="30" t="str">
        <x:v>Grand Parkway FY2025
8/31/2025</x:v>
      </x:c>
      <x:c r="G4" s="30" t="str">
        <x:v>FBCTRA FY2025</x:v>
      </x:c>
      <x:c r="H4" s="30" t="str">
        <x:v>FBGPTRA FY2025</x:v>
      </x:c>
      <x:c r="I4" s="31" t="str">
        <x:v>Definition / comparability note</x:v>
      </x:c>
    </x:row>
    <x:row r="6">
      <x:c r="A6" s="78" t="str">
        <x:v>Toll revenue / net toll revenue</x:v>
      </x:c>
      <x:c r="B6" s="79" t="n">
        <x:v>1253</x:v>
      </x:c>
      <x:c r="C6" s="79" t="n">
        <x:v>1027.57329</x:v>
      </x:c>
      <x:c r="D6" s="79" t="n">
        <x:v>276.4</x:v>
      </x:c>
      <x:c r="E6" s="79" t="n">
        <x:v>337.64</x:v>
      </x:c>
      <x:c r="F6" s="79" t="n">
        <x:v>393.32</x:v>
      </x:c>
      <x:c r="G6" s="79" t="n">
        <x:v>68.541996</x:v>
      </x:c>
      <x:c r="H6" s="79" t="n">
        <x:v>45.8</x:v>
      </x:c>
      <x:c r="I6" s="56" t="str">
        <x:v>Net toll revenue for NTTA is audited; CTRMA uses the audited headline and therefore does not equal the detailed unaudited operating-revenue basis. CTTS/Grand Parkway values are HB803 operating revenue, not full ACFR toll revenue.</x:v>
      </x:c>
    </x:row>
    <x:row r="7">
      <x:c r="A7" s="68" t="str">
        <x:v>Other operating revenue / toll fees</x:v>
      </x:c>
      <x:c r="B7" s="70"/>
      <x:c r="C7" s="74" t="n">
        <x:v>0</x:v>
      </x:c>
      <x:c r="D7" s="74" t="n">
        <x:v>15.928552</x:v>
      </x:c>
      <x:c r="E7" s="70"/>
      <x:c r="F7" s="70"/>
      <x:c r="G7" s="70"/>
      <x:c r="H7" s="70"/>
      <x:c r="I7" s="48" t="str">
        <x:v>CTRMA fee revenue is reported separately in the final June 2025 monthly statement. HCTRA has no material other operating revenue in the enterprise-fund statement.</x:v>
      </x:c>
    </x:row>
    <x:row r="8">
      <x:c r="A8" s="78" t="str">
        <x:v>Gross operating revenue / detailed basis</x:v>
      </x:c>
      <x:c r="B8" s="82"/>
      <x:c r="C8" s="82" t="n">
        <x:f>C6+C7</x:f>
        <x:v>1027.57329</x:v>
      </x:c>
      <x:c r="D8" s="79" t="n">
        <x:v>270.246953</x:v>
      </x:c>
      <x:c r="E8" s="79" t="n">
        <x:v>337.64</x:v>
      </x:c>
      <x:c r="F8" s="79" t="n">
        <x:v>393.32</x:v>
      </x:c>
      <x:c r="G8" s="82" t="n">
        <x:f>G6+G7</x:f>
        <x:v>68.541996</x:v>
      </x:c>
      <x:c r="H8" s="82"/>
      <x:c r="I8" s="56" t="str">
        <x:v>HCTRA formula equals toll plus other operating revenue. CTRMA detailed basis is final but unaudited and does not reconcile to the audited toll headline; this blocks an exact cross-system accounting chart.</x:v>
      </x:c>
    </x:row>
    <x:row r="9">
      <x:c r="A9" s="68" t="str">
        <x:v>Gross Trust or coverage revenue</x:v>
      </x:c>
      <x:c r="B9" s="74" t="n">
        <x:v>1357.531582</x:v>
      </x:c>
      <x:c r="C9" s="70"/>
      <x:c r="D9" s="70"/>
      <x:c r="E9" s="70"/>
      <x:c r="F9" s="70"/>
      <x:c r="G9" s="70"/>
      <x:c r="H9" s="70"/>
      <x:c r="I9" s="48" t="str">
        <x:v>NTTA gross Trust revenue includes net toll revenue, interest income and other revenue and is used for the debt-coverage waterfall.</x:v>
      </x:c>
    </x:row>
    <x:row r="10">
      <x:c r="A10" s="78" t="str">
        <x:v>Operating expenses excluding D&amp;A</x:v>
      </x:c>
      <x:c r="B10" s="79" t="n">
        <x:v>252.666493</x:v>
      </x:c>
      <x:c r="C10" s="79" t="n">
        <x:v>427.168949</x:v>
      </x:c>
      <x:c r="D10" s="79" t="n">
        <x:v>61.313342</x:v>
      </x:c>
      <x:c r="E10" s="79" t="n">
        <x:v>101.87</x:v>
      </x:c>
      <x:c r="F10" s="79" t="n">
        <x:v>59.11</x:v>
      </x:c>
      <x:c r="G10" s="79" t="n">
        <x:v>19.54524</x:v>
      </x:c>
      <x:c r="H10" s="82"/>
      <x:c r="I10" s="56" t="str">
        <x:v>NTTA is trust-basis O&amp;M, not GAAP operating expense. CTTS and Grand Parkway are HB803 recurring obligation categories. Do not compare these as identical accounting expense.</x:v>
      </x:c>
    </x:row>
    <x:row r="11">
      <x:c r="A11" s="68" t="str">
        <x:v>Toll collection / customer service</x:v>
      </x:c>
      <x:c r="B11" s="70"/>
      <x:c r="C11" s="70"/>
      <x:c r="D11" s="74" t="n">
        <x:v>15.866243</x:v>
      </x:c>
      <x:c r="E11" s="70"/>
      <x:c r="F11" s="70"/>
      <x:c r="G11" s="74" t="n">
        <x:v>11.41693</x:v>
      </x:c>
      <x:c r="H11" s="70"/>
      <x:c r="I11" s="48" t="str">
        <x:v>Only separately disclosed where available. Blank is unavailable, not zero.</x:v>
      </x:c>
    </x:row>
    <x:row r="12">
      <x:c r="A12" s="78" t="str">
        <x:v>Road operations and maintenance</x:v>
      </x:c>
      <x:c r="B12" s="82"/>
      <x:c r="C12" s="82"/>
      <x:c r="D12" s="79" t="n">
        <x:v>7.649493</x:v>
      </x:c>
      <x:c r="E12" s="79" t="n">
        <x:v>65.14</x:v>
      </x:c>
      <x:c r="F12" s="79" t="n">
        <x:v>18.97</x:v>
      </x:c>
      <x:c r="G12" s="79" t="n">
        <x:v>5.150558</x:v>
      </x:c>
      <x:c r="H12" s="82"/>
      <x:c r="I12" s="56" t="str">
        <x:v>TxDOT reports repairs and maintenance separately from operating expense in HB803.</x:v>
      </x:c>
    </x:row>
    <x:row r="13">
      <x:c r="A13" s="68" t="str">
        <x:v>Administration, personnel and other</x:v>
      </x:c>
      <x:c r="B13" s="70"/>
      <x:c r="C13" s="70"/>
      <x:c r="D13" s="74" t="n">
        <x:v>37.797606</x:v>
      </x:c>
      <x:c r="E13" s="70"/>
      <x:c r="F13" s="70"/>
      <x:c r="G13" s="74" t="n">
        <x:v>2.977752</x:v>
      </x:c>
      <x:c r="H13" s="70"/>
      <x:c r="I13" s="48" t="str">
        <x:v>CTRMA is the balancing sum of salary, administration, toll operations, consulting and contingencies in the final monthly statement. FBCTRA includes personnel, professional services, law enforcement, travel and utilities.</x:v>
      </x:c>
    </x:row>
    <x:row r="14">
      <x:c r="A14" s="88" t="str">
        <x:v>Depreciation and amortization</x:v>
      </x:c>
      <x:c r="B14" s="89"/>
      <x:c r="C14" s="90" t="n">
        <x:v>115.504655</x:v>
      </x:c>
      <x:c r="D14" s="90" t="n">
        <x:v>64.855913</x:v>
      </x:c>
      <x:c r="E14" s="89"/>
      <x:c r="F14" s="89"/>
      <x:c r="G14" s="90" t="n">
        <x:v>8.903593</x:v>
      </x:c>
      <x:c r="H14" s="89"/>
      <x:c r="I14" s="91" t="str">
        <x:v>Noncash accounting expense.</x:v>
      </x:c>
    </x:row>
    <x:row r="15">
      <x:c r="A15" s="68" t="str">
        <x:v>Total operating expenses incl. D&amp;A</x:v>
      </x:c>
      <x:c r="B15" s="74" t="n">
        <x:v>252.666493</x:v>
      </x:c>
      <x:c r="C15" s="70" t="n">
        <x:f>C10+C14</x:f>
        <x:v>542.673604</x:v>
      </x:c>
      <x:c r="D15" s="70" t="n">
        <x:f>D10+D14</x:f>
        <x:v>126.16925499999999</x:v>
      </x:c>
      <x:c r="E15" s="70"/>
      <x:c r="F15" s="70"/>
      <x:c r="G15" s="70" t="n">
        <x:f>G10+G14</x:f>
        <x:v>28.448833</x:v>
      </x:c>
      <x:c r="H15" s="74" t="n">
        <x:v>20.157241</x:v>
      </x:c>
      <x:c r="I15" s="48" t="str">
        <x:v>Formula where detailed categories support it. NTTA remains trust-basis. FBGPTRA figure is total disclosed operating expense and cannot be decomposed from captured records.</x:v>
      </x:c>
    </x:row>
    <x:row r="16">
      <x:c r="A16" s="78" t="str">
        <x:v>Operating income</x:v>
      </x:c>
      <x:c r="B16" s="82"/>
      <x:c r="C16" s="82" t="n">
        <x:f>C8-C15</x:f>
        <x:v>484.8996860000001</x:v>
      </x:c>
      <x:c r="D16" s="82" t="n">
        <x:f>D8-D15</x:f>
        <x:v>144.07769800000003</x:v>
      </x:c>
      <x:c r="E16" s="82"/>
      <x:c r="F16" s="82"/>
      <x:c r="G16" s="82" t="n">
        <x:f>G8-G15</x:f>
        <x:v>40.093163</x:v>
      </x:c>
      <x:c r="H16" s="82"/>
      <x:c r="I16" s="56" t="str">
        <x:v>Formula where gross operating revenue and D&amp;A-inclusive operating expense are comparable.</x:v>
      </x:c>
    </x:row>
    <x:row r="17">
      <x:c r="A17" s="68" t="str">
        <x:v>Investment income</x:v>
      </x:c>
      <x:c r="B17" s="74" t="n">
        <x:v>76.640885</x:v>
      </x:c>
      <x:c r="C17" s="74" t="n">
        <x:v>95.248292</x:v>
      </x:c>
      <x:c r="D17" s="74" t="n">
        <x:v>42.761348</x:v>
      </x:c>
      <x:c r="E17" s="70"/>
      <x:c r="F17" s="70"/>
      <x:c r="G17" s="74" t="n">
        <x:v>14.764045</x:v>
      </x:c>
      <x:c r="H17" s="70"/>
      <x:c r="I17" s="48" t="str">
        <x:v>Interest and investment earnings can fund obligations, but are not toll collections.</x:v>
      </x:c>
    </x:row>
    <x:row r="18">
      <x:c r="A18" s="78" t="str">
        <x:v>Interest expense — accounting</x:v>
      </x:c>
      <x:c r="B18" s="82"/>
      <x:c r="C18" s="79" t="n">
        <x:v>107.676539</x:v>
      </x:c>
      <x:c r="D18" s="79" t="n">
        <x:v>86.841049</x:v>
      </x:c>
      <x:c r="E18" s="82"/>
      <x:c r="F18" s="82"/>
      <x:c r="G18" s="79" t="n">
        <x:v>11.364931</x:v>
      </x:c>
      <x:c r="H18" s="82"/>
      <x:c r="I18" s="56" t="str">
        <x:v>Accounting interest may differ from cash interest because of accruals, amortization and capitalized interest.</x:v>
      </x:c>
    </x:row>
    <x:row r="19">
      <x:c r="A19" s="68" t="str">
        <x:v>Other nonoperating items, net</x:v>
      </x:c>
      <x:c r="B19" s="70"/>
      <x:c r="C19" s="74" t="n">
        <x:v>-15.900433</x:v>
      </x:c>
      <x:c r="D19" s="70"/>
      <x:c r="E19" s="70"/>
      <x:c r="F19" s="70"/>
      <x:c r="G19" s="74" t="n">
        <x:v>-3.18259</x:v>
      </x:c>
      <x:c r="H19" s="70"/>
      <x:c r="I19" s="48" t="str">
        <x:v>HCTRA includes lease/other revenue less fees, disposal loss and refunding-loss amortization. FBCTRA shows debt-issuance cost separately.</x:v>
      </x:c>
    </x:row>
    <x:row r="20">
      <x:c r="A20" s="78" t="str">
        <x:v>Transfers out</x:v>
      </x:c>
      <x:c r="B20" s="82"/>
      <x:c r="C20" s="79" t="n">
        <x:v>398.613674</x:v>
      </x:c>
      <x:c r="D20" s="79" t="n">
        <x:v>10</x:v>
      </x:c>
      <x:c r="E20" s="82"/>
      <x:c r="F20" s="82"/>
      <x:c r="G20" s="82"/>
      <x:c r="H20" s="82"/>
      <x:c r="I20" s="56" t="str">
        <x:v>HCTRA transfer went to the county mobility/thoroughfare program; CTRMA amount is the CAMPO Regional Infrastructure Fund payment captured in the monthly statement.</x:v>
      </x:c>
    </x:row>
    <x:row r="21">
      <x:c r="A21" s="68" t="str">
        <x:v>Change in net position / reported net income</x:v>
      </x:c>
      <x:c r="B21" s="70"/>
      <x:c r="C21" s="74" t="n">
        <x:v>57.957332</x:v>
      </x:c>
      <x:c r="D21" s="74" t="n">
        <x:v>112.077724</x:v>
      </x:c>
      <x:c r="E21" s="70"/>
      <x:c r="F21" s="70"/>
      <x:c r="G21" s="74" t="n">
        <x:v>40.309687</x:v>
      </x:c>
      <x:c r="H21" s="70"/>
      <x:c r="I21" s="48" t="str">
        <x:v>Net-position change is not cash available for distribution.</x:v>
      </x:c>
    </x:row>
    <x:row r="22">
      <x:c r="A22" s="88" t="str">
        <x:v>Ending net position</x:v>
      </x:c>
      <x:c r="B22" s="89"/>
      <x:c r="C22" s="90" t="n">
        <x:v>2201.824493</x:v>
      </x:c>
      <x:c r="D22" s="89"/>
      <x:c r="E22" s="89"/>
      <x:c r="F22" s="89"/>
      <x:c r="G22" s="90" t="n">
        <x:v>296.004835</x:v>
      </x:c>
      <x:c r="H22" s="89"/>
      <x:c r="I22" s="91" t="str">
        <x:v>Net position is an accounting balance, not a cash balance.</x:v>
      </x:c>
    </x:row>
    <x:row r="23">
      <x:c r="A23" s="68" t="str">
        <x:v>Debt principal outstanding</x:v>
      </x:c>
      <x:c r="B23" s="74" t="n">
        <x:v>8519</x:v>
      </x:c>
      <x:c r="C23" s="74" t="n">
        <x:v>2759.265</x:v>
      </x:c>
      <x:c r="D23" s="74" t="n">
        <x:v>2448</x:v>
      </x:c>
      <x:c r="E23" s="70"/>
      <x:c r="F23" s="70"/>
      <x:c r="G23" s="74" t="n">
        <x:v>526.91</x:v>
      </x:c>
      <x:c r="H23" s="74" t="n">
        <x:v>160</x:v>
      </x:c>
      <x:c r="I23" s="48" t="str">
        <x:v>System or authority debt, not the construction cost of one named road.</x:v>
      </x:c>
    </x:row>
    <x:row r="24">
      <x:c r="A24" s="78" t="str">
        <x:v>Debt-service coverage (x)</x:v>
      </x:c>
      <x:c r="B24" s="84" t="n">
        <x:v>1.64</x:v>
      </x:c>
      <x:c r="C24" s="84" t="n">
        <x:v>5.1</x:v>
      </x:c>
      <x:c r="D24" s="84" t="n">
        <x:v>2.28</x:v>
      </x:c>
      <x:c r="E24" s="85"/>
      <x:c r="F24" s="85"/>
      <x:c r="G24" s="85"/>
      <x:c r="H24" s="85"/>
      <x:c r="I24" s="56" t="str">
        <x:v>Coverage definitions differ by system and bond document.</x:v>
      </x:c>
    </x:row>
    <x:row r="26">
      <x:c r="A26" s="99" t="str">
        <x:v>Control: figures from different fiscal-year ends and reporting bases are not aggregated. An unavailable category is blank. The source ledger and cell comments identify every source and transformation.</x:v>
      </x:c>
      <x:c r="B26" s="99"/>
      <x:c r="C26" s="99"/>
      <x:c r="D26" s="99"/>
      <x:c r="E26" s="99"/>
      <x:c r="F26" s="99"/>
      <x:c r="G26" s="99"/>
      <x:c r="H26" s="99"/>
      <x:c r="I26" s="99"/>
    </x:row>
    <x:row r="27">
      <x:c r="A27" s="99"/>
      <x:c r="B27" s="99"/>
      <x:c r="C27" s="99"/>
      <x:c r="D27" s="99"/>
      <x:c r="E27" s="99"/>
      <x:c r="F27" s="99"/>
      <x:c r="G27" s="99"/>
      <x:c r="H27" s="99"/>
      <x:c r="I27" s="99"/>
    </x:row>
  </x:sheetData>
  <x:mergeCells>
    <x:mergeCell ref="A1:I1"/>
    <x:mergeCell ref="A2:I2"/>
    <x:mergeCell ref="A26:I27"/>
  </x:mergeCells>
  <x:pageMargins left="0.7" right="0.7" top="0.75" bottom="0.75" header="0.3" footer="0.3"/>
  <x:legacyDrawing xmlns:r="http://schemas.openxmlformats.org/officeDocument/2006/relationships" r:id="Rbd2c9e499a124b87"/>
</x:worksheet>
</file>

<file path=xl/worksheets/sheet5.xml><?xml version="1.0" encoding="utf-8"?>
<x:worksheet xmlns:x="http://schemas.openxmlformats.org/spreadsheetml/2006/main">
  <x:sheetFormatPr defaultRowHeight="15"/>
  <x:cols>
    <x:col min="1" max="1" width="38" hidden="0" customWidth="1"/>
    <x:col min="2" max="2" width="14" hidden="0" customWidth="1"/>
    <x:col min="3" max="3" width="14" hidden="0" customWidth="1"/>
    <x:col min="4" max="4" width="14" hidden="0" customWidth="1"/>
    <x:col min="5" max="5" width="14" hidden="0" customWidth="1"/>
    <x:col min="6" max="6" width="17" hidden="0" customWidth="1"/>
    <x:col min="7" max="7" width="14" hidden="0" customWidth="1"/>
    <x:col min="8" max="8" width="16" hidden="0" customWidth="1"/>
    <x:col min="9" max="9" width="52" hidden="0" customWidth="1"/>
  </x:cols>
  <x:sheetData>
    <x:row r="1" ht="28" customHeight="1">
      <x:c r="A1" s="5" t="str">
        <x:v>Cash-Waterfall View — Sources and Uses</x:v>
      </x:c>
      <x:c r="B1" s="5"/>
      <x:c r="C1" s="5"/>
      <x:c r="D1" s="5"/>
      <x:c r="E1" s="5"/>
      <x:c r="F1" s="5"/>
      <x:c r="G1" s="5"/>
      <x:c r="H1" s="5"/>
      <x:c r="I1" s="5"/>
    </x:row>
    <x:row r="2" ht="34" customHeight="1">
      <x:c r="A2" s="13" t="str">
        <x:v>Cash basis where disclosed. Full sources-and-uses reconciliation is available only for HCTRA; NTTA and CTRMA are partial because captured schedules omit or net investment and beginning-balance categories. TxDOT columns are recurring revenue obligations, not statements of cash flows.</x:v>
      </x:c>
      <x:c r="B2" s="13"/>
      <x:c r="C2" s="13"/>
      <x:c r="D2" s="13"/>
      <x:c r="E2" s="13"/>
      <x:c r="F2" s="13"/>
      <x:c r="G2" s="13"/>
      <x:c r="H2" s="13"/>
      <x:c r="I2" s="13"/>
    </x:row>
    <x:row r="4" ht="30" customHeight="1">
      <x:c r="A4" s="29" t="str">
        <x:v>Cash-flow category ($mm)</x:v>
      </x:c>
      <x:c r="B4" s="30" t="str">
        <x:v>NTTA FY2025</x:v>
      </x:c>
      <x:c r="C4" s="30" t="str">
        <x:v>HCTRA FY2025</x:v>
      </x:c>
      <x:c r="D4" s="30" t="str">
        <x:v>CTRMA FY2025</x:v>
      </x:c>
      <x:c r="E4" s="30" t="str">
        <x:v>CTTS FY2025</x:v>
      </x:c>
      <x:c r="F4" s="30" t="str">
        <x:v>Grand Parkway FY2025</x:v>
      </x:c>
      <x:c r="G4" s="30" t="str">
        <x:v>FBCTRA FY2025</x:v>
      </x:c>
      <x:c r="H4" s="30" t="str">
        <x:v>FBGPTRA FY2025</x:v>
      </x:c>
      <x:c r="I4" s="31" t="str">
        <x:v>Classification / note</x:v>
      </x:c>
    </x:row>
    <x:row r="6">
      <x:c r="A6" s="78" t="str">
        <x:v>Beginning cash and equivalents</x:v>
      </x:c>
      <x:c r="B6" s="82"/>
      <x:c r="C6" s="79" t="n">
        <x:v>1304.740251</x:v>
      </x:c>
      <x:c r="D6" s="82"/>
      <x:c r="E6" s="82"/>
      <x:c r="F6" s="82"/>
      <x:c r="G6" s="82"/>
      <x:c r="H6" s="82"/>
      <x:c r="I6" s="56" t="str">
        <x:v>Beginning balances matter because current-year uses may be paid from prior reserves. HCTRA beginning cash is captured; NTTA/CTRMA beginning categories are incomplete in the extracted schedules.</x:v>
      </x:c>
    </x:row>
    <x:row r="7">
      <x:c r="A7" s="68" t="str">
        <x:v>Toll / customer cash receipts</x:v>
      </x:c>
      <x:c r="B7" s="74" t="n">
        <x:v>1359.88098</x:v>
      </x:c>
      <x:c r="C7" s="74" t="n">
        <x:v>995.739823</x:v>
      </x:c>
      <x:c r="D7" s="74" t="n">
        <x:v>270.908866</x:v>
      </x:c>
      <x:c r="E7" s="70"/>
      <x:c r="F7" s="70"/>
      <x:c r="G7" s="70"/>
      <x:c r="H7" s="70"/>
      <x:c r="I7" s="48" t="str">
        <x:v>Cash receipts can differ from accrual toll revenue because of collection timing, bad debt and receivables.</x:v>
      </x:c>
    </x:row>
    <x:row r="8">
      <x:c r="A8" s="78" t="str">
        <x:v>Other operating receipts</x:v>
      </x:c>
      <x:c r="B8" s="79" t="n">
        <x:v>148.37345</x:v>
      </x:c>
      <x:c r="C8" s="79" t="n">
        <x:v>2.418602</x:v>
      </x:c>
      <x:c r="D8" s="79" t="n">
        <x:v>33.670198</x:v>
      </x:c>
      <x:c r="E8" s="82"/>
      <x:c r="F8" s="82"/>
      <x:c r="G8" s="82"/>
      <x:c r="H8" s="82"/>
      <x:c r="I8" s="56" t="str">
        <x:v>NTTA includes a legal settlement and other receipts. HCTRA combines miscellaneous reimbursements and other-government receipts.</x:v>
      </x:c>
    </x:row>
    <x:row r="9">
      <x:c r="A9" s="68" t="str">
        <x:v>Investment-interest cash receipts</x:v>
      </x:c>
      <x:c r="B9" s="70"/>
      <x:c r="C9" s="74" t="n">
        <x:v>95.300543</x:v>
      </x:c>
      <x:c r="D9" s="74" t="n">
        <x:v>42.951881</x:v>
      </x:c>
      <x:c r="E9" s="70"/>
      <x:c r="F9" s="70"/>
      <x:c r="G9" s="70"/>
      <x:c r="H9" s="70"/>
      <x:c r="I9" s="48" t="str">
        <x:v>Cash investment earnings are a source of funds but not toll revenue.</x:v>
      </x:c>
    </x:row>
    <x:row r="10">
      <x:c r="A10" s="78" t="str">
        <x:v>Grants, contributions and subsidies</x:v>
      </x:c>
      <x:c r="B10" s="79" t="n">
        <x:v>18.888959</x:v>
      </x:c>
      <x:c r="C10" s="82"/>
      <x:c r="D10" s="82"/>
      <x:c r="E10" s="82"/>
      <x:c r="F10" s="82"/>
      <x:c r="G10" s="82"/>
      <x:c r="H10" s="82"/>
      <x:c r="I10" s="56" t="str">
        <x:v>NTTA amount is capital contribution / Build America Bonds subsidy captured in the cash statement.</x:v>
      </x:c>
    </x:row>
    <x:row r="11">
      <x:c r="A11" s="68" t="str">
        <x:v>New debt / commercial-paper proceeds</x:v>
      </x:c>
      <x:c r="B11" s="74" t="n">
        <x:v>630.46</x:v>
      </x:c>
      <x:c r="C11" s="74" t="n">
        <x:v>249.52</x:v>
      </x:c>
      <x:c r="D11" s="70"/>
      <x:c r="E11" s="70"/>
      <x:c r="F11" s="70"/>
      <x:c r="G11" s="70"/>
      <x:c r="H11" s="70"/>
      <x:c r="I11" s="48" t="str">
        <x:v>New borrowing is a financing source, not toll revenue.</x:v>
      </x:c>
    </x:row>
    <x:row r="12">
      <x:c r="A12" s="78" t="str">
        <x:v>Transfers in</x:v>
      </x:c>
      <x:c r="B12" s="82"/>
      <x:c r="C12" s="82"/>
      <x:c r="D12" s="82"/>
      <x:c r="E12" s="82"/>
      <x:c r="F12" s="82"/>
      <x:c r="G12" s="82"/>
      <x:c r="H12" s="82"/>
      <x:c r="I12" s="56"/>
    </x:row>
    <x:row r="13">
      <x:c r="A13" s="68" t="str">
        <x:v>Investment sales and maturities</x:v>
      </x:c>
      <x:c r="B13" s="70"/>
      <x:c r="C13" s="74" t="n">
        <x:v>1661.692053</x:v>
      </x:c>
      <x:c r="D13" s="74" t="n">
        <x:v>70.977535</x:v>
      </x:c>
      <x:c r="E13" s="70"/>
      <x:c r="F13" s="70"/>
      <x:c r="G13" s="70"/>
      <x:c r="H13" s="70"/>
      <x:c r="I13" s="48" t="str">
        <x:v>HCTRA has large investment maturities; CTRMA figure is presented with a sign that may represent net maturities and is therefore not used in an exact waterfall.</x:v>
      </x:c>
    </x:row>
    <x:row r="14">
      <x:c r="A14" s="114" t="str">
        <x:v>Total identified sources</x:v>
      </x:c>
      <x:c r="B14" s="114" t="n">
        <x:f>SUM(B6:B13)</x:f>
        <x:v>2157.603389</x:v>
      </x:c>
      <x:c r="C14" s="114" t="n">
        <x:f>SUM(C6:C13)</x:f>
        <x:v>4309.411272</x:v>
      </x:c>
      <x:c r="D14" s="114" t="n">
        <x:f>SUM(D6:D13)</x:f>
        <x:v>418.50848</x:v>
      </x:c>
      <x:c r="E14" s="114" t="n">
        <x:f>'03_Accounting_View'!E8</x:f>
        <x:v>337.64</x:v>
      </x:c>
      <x:c r="F14" s="114" t="n">
        <x:f>'03_Accounting_View'!F8</x:f>
        <x:v>393.32</x:v>
      </x:c>
      <x:c r="G14" s="114"/>
      <x:c r="H14" s="114"/>
      <x:c r="I14" s="114" t="str">
        <x:v>Sum of identified sources. For partial systems this is not total cash available.</x:v>
      </x:c>
    </x:row>
    <x:row r="15">
      <x:c r="A15" s="68" t="str">
        <x:v>Employees / personnel</x:v>
      </x:c>
      <x:c r="B15" s="74" t="n">
        <x:v>81.766741</x:v>
      </x:c>
      <x:c r="C15" s="74" t="n">
        <x:v>97.250205</x:v>
      </x:c>
      <x:c r="D15" s="74" t="n">
        <x:v>6.599112</x:v>
      </x:c>
      <x:c r="E15" s="70"/>
      <x:c r="F15" s="70"/>
      <x:c r="G15" s="70"/>
      <x:c r="H15" s="70"/>
      <x:c r="I15" s="48" t="str">
        <x:v>Cash employee payments.</x:v>
      </x:c>
    </x:row>
    <x:row r="16">
      <x:c r="A16" s="78" t="str">
        <x:v>Vendors, collection and road operations</x:v>
      </x:c>
      <x:c r="B16" s="79" t="n">
        <x:v>299.884631</x:v>
      </x:c>
      <x:c r="C16" s="79" t="n">
        <x:v>307.512889</x:v>
      </x:c>
      <x:c r="D16" s="79" t="n">
        <x:v>71.512248</x:v>
      </x:c>
      <x:c r="E16" s="79" t="n">
        <x:v>101.87</x:v>
      </x:c>
      <x:c r="F16" s="79" t="n">
        <x:v>59.11</x:v>
      </x:c>
      <x:c r="G16" s="82"/>
      <x:c r="H16" s="82"/>
      <x:c r="I16" s="56" t="str">
        <x:v>NTTA and HCTRA combine contractor/vendor categories; CTRMA vendors. CTTS/Grand Parkway are HB803 operating expenses, not cash-payment schedules.</x:v>
      </x:c>
    </x:row>
    <x:row r="17">
      <x:c r="A17" s="68" t="str">
        <x:v>Principal repayment</x:v>
      </x:c>
      <x:c r="B17" s="74" t="n">
        <x:v>322.095</x:v>
      </x:c>
      <x:c r="C17" s="74" t="n">
        <x:v>96.685</x:v>
      </x:c>
      <x:c r="D17" s="74" t="n">
        <x:v>47.115467</x:v>
      </x:c>
      <x:c r="E17" s="70"/>
      <x:c r="F17" s="70"/>
      <x:c r="G17" s="70"/>
      <x:c r="H17" s="70"/>
      <x:c r="I17" s="48" t="str">
        <x:v>Principal repayment is a cash use but not an income-statement expense.</x:v>
      </x:c>
    </x:row>
    <x:row r="18">
      <x:c r="A18" s="78" t="str">
        <x:v>Cash interest</x:v>
      </x:c>
      <x:c r="B18" s="79" t="n">
        <x:v>371.173328</x:v>
      </x:c>
      <x:c r="C18" s="79" t="n">
        <x:v>145.327763</x:v>
      </x:c>
      <x:c r="D18" s="79" t="n">
        <x:v>90.225302</x:v>
      </x:c>
      <x:c r="E18" s="79" t="n">
        <x:v>160.34</x:v>
      </x:c>
      <x:c r="F18" s="79" t="n">
        <x:v>175.38</x:v>
      </x:c>
      <x:c r="G18" s="82"/>
      <x:c r="H18" s="82"/>
      <x:c r="I18" s="56" t="str">
        <x:v>NTTA/HCTRA/CTRMA are cash interest. CTTS/Grand Parkway are total debt service in the HB803 recurring-obligation table, so principal/interest are not split.</x:v>
      </x:c>
    </x:row>
    <x:row r="19">
      <x:c r="A19" s="68" t="str">
        <x:v>Other debt-related outflows</x:v>
      </x:c>
      <x:c r="B19" s="70"/>
      <x:c r="C19" s="74" t="n">
        <x:v>164.29946</x:v>
      </x:c>
      <x:c r="D19" s="74" t="n">
        <x:v>10</x:v>
      </x:c>
      <x:c r="E19" s="70"/>
      <x:c r="F19" s="70"/>
      <x:c r="G19" s="70"/>
      <x:c r="H19" s="70"/>
      <x:c r="I19" s="48" t="str">
        <x:v>HCTRA includes commercial-paper repayment, lease/subscription principal and bond fees. CTRMA shows the CAMPO RIF payment here only once.</x:v>
      </x:c>
    </x:row>
    <x:row r="20">
      <x:c r="A20" s="78" t="str">
        <x:v>Capital expenditures / asset purchases</x:v>
      </x:c>
      <x:c r="B20" s="79" t="n">
        <x:v>200.493449</x:v>
      </x:c>
      <x:c r="C20" s="79" t="n">
        <x:v>315.269617</x:v>
      </x:c>
      <x:c r="D20" s="79" t="n">
        <x:v>242.708879</x:v>
      </x:c>
      <x:c r="E20" s="82"/>
      <x:c r="F20" s="82"/>
      <x:c r="G20" s="82"/>
      <x:c r="H20" s="82"/>
      <x:c r="I20" s="56" t="str">
        <x:v>HCTRA and NTTA capital-asset purchases. CTRMA includes nonproject capital plus intangible assets; the construction-in-progress sign is unresolved.</x:v>
      </x:c>
    </x:row>
    <x:row r="21">
      <x:c r="A21" s="68" t="str">
        <x:v>Transfers out / mobility programs</x:v>
      </x:c>
      <x:c r="B21" s="70"/>
      <x:c r="C21" s="74" t="n">
        <x:v>398.613674</x:v>
      </x:c>
      <x:c r="D21" s="74" t="n">
        <x:v>10</x:v>
      </x:c>
      <x:c r="E21" s="70"/>
      <x:c r="F21" s="70"/>
      <x:c r="G21" s="70"/>
      <x:c r="H21" s="70"/>
      <x:c r="I21" s="48" t="str">
        <x:v>HCTRA transfer is to the county mobility/thoroughfare program. Public transfers are not private equity distributions.</x:v>
      </x:c>
    </x:row>
    <x:row r="22">
      <x:c r="A22" s="78" t="str">
        <x:v>Investment purchases / refunding escrow</x:v>
      </x:c>
      <x:c r="B22" s="79" t="n">
        <x:v>798.47</x:v>
      </x:c>
      <x:c r="C22" s="79" t="n">
        <x:v>1788.775903</x:v>
      </x:c>
      <x:c r="D22" s="82"/>
      <x:c r="E22" s="82"/>
      <x:c r="F22" s="82"/>
      <x:c r="G22" s="82"/>
      <x:c r="H22" s="82"/>
      <x:c r="I22" s="56" t="str">
        <x:v>HCTRA investment purchases; NTTA refunding escrow. These are financing/investment mechanics, not recurring road operations.</x:v>
      </x:c>
    </x:row>
    <x:row r="23">
      <x:c r="A23" s="68" t="str">
        <x:v>Reserve deposit / residual obligation</x:v>
      </x:c>
      <x:c r="B23" s="74" t="n">
        <x:v>437.960051</x:v>
      </x:c>
      <x:c r="C23" s="70"/>
      <x:c r="D23" s="70"/>
      <x:c r="E23" s="74" t="n">
        <x:v>10.29</x:v>
      </x:c>
      <x:c r="F23" s="74" t="n">
        <x:v>139.86</x:v>
      </x:c>
      <x:c r="G23" s="70"/>
      <x:c r="H23" s="70"/>
      <x:c r="I23" s="48" t="str">
        <x:v>NTTA is the exact residual of gross Trust revenue after net O&amp;M and debt service, not a cash-account deposit. TxDOT amounts are HB803 residuals deposited to bond-required reserves.</x:v>
      </x:c>
    </x:row>
    <x:row r="24">
      <x:c r="A24" s="78" t="str">
        <x:v>Ending cash and equivalents</x:v>
      </x:c>
      <x:c r="B24" s="79" t="n">
        <x:v>38.673796</x:v>
      </x:c>
      <x:c r="C24" s="79" t="n">
        <x:v>995.752822</x:v>
      </x:c>
      <x:c r="D24" s="79" t="n">
        <x:v>822.545801</x:v>
      </x:c>
      <x:c r="E24" s="82"/>
      <x:c r="F24" s="82"/>
      <x:c r="G24" s="82"/>
      <x:c r="H24" s="82"/>
      <x:c r="I24" s="56" t="str">
        <x:v>Ending cash is not unrestricted distributable cash.</x:v>
      </x:c>
    </x:row>
    <x:row r="25">
      <x:c r="A25" s="114" t="str">
        <x:v>Total identified uses</x:v>
      </x:c>
      <x:c r="B25" s="114" t="n">
        <x:f>SUM(B15:B24)</x:f>
        <x:v>2550.5169960000003</x:v>
      </x:c>
      <x:c r="C25" s="114" t="n">
        <x:f>SUM(C15:C24)</x:f>
        <x:v>4309.487333</x:v>
      </x:c>
      <x:c r="D25" s="114" t="n">
        <x:f>SUM(D15:D24)</x:f>
        <x:v>1300.706809</x:v>
      </x:c>
      <x:c r="E25" s="114" t="n">
        <x:f>SUM(E16,E18,E23)</x:f>
        <x:v>272.50000000000006</x:v>
      </x:c>
      <x:c r="F25" s="114" t="n">
        <x:f>SUM(F16,F18,F23)</x:f>
        <x:v>374.35</x:v>
      </x:c>
      <x:c r="G25" s="114"/>
      <x:c r="H25" s="114"/>
      <x:c r="I25" s="114" t="str">
        <x:v>Sum of identified uses.</x:v>
      </x:c>
    </x:row>
    <x:row r="26">
      <x:c r="A26" s="124" t="str">
        <x:v>Reconciliation difference</x:v>
      </x:c>
      <x:c r="B26" s="124" t="n">
        <x:f>B14-B25</x:f>
        <x:v>-392.9136070000004</x:v>
      </x:c>
      <x:c r="C26" s="124" t="n">
        <x:f>C14-C25</x:f>
        <x:v>-0.07606099999975413</x:v>
      </x:c>
      <x:c r="D26" s="124" t="n">
        <x:f>D14-D25</x:f>
        <x:v>-882.1983290000001</x:v>
      </x:c>
      <x:c r="E26" s="124" t="n">
        <x:f>E14-E25</x:f>
        <x:v>65.13999999999993</x:v>
      </x:c>
      <x:c r="F26" s="124" t="n">
        <x:f>F14-F25</x:f>
        <x:v>18.96999999999997</x:v>
      </x:c>
      <x:c r="G26" s="124"/>
      <x:c r="H26" s="124"/>
      <x:c r="I26" s="124" t="str">
        <x:v>For HCTRA the remaining $0.076m difference reflects rounding or omitted minor cash-flow lines. NTTA/CTRMA differences are expected because beginning/investment categories are incomplete. TxDOT should reconcile to zero.</x:v>
      </x:c>
    </x:row>
    <x:row r="28">
      <x:c r="A28" s="99" t="str">
        <x:v>Sources-and-uses control: no stacked chart is built from a system unless the denominator and obligations are internally consistent. HCTRA’s capital spending and transfer are shown as separate claims on FY2025 toll revenue because prior cash, investment activity and new commercial paper also funded the year.</x:v>
      </x:c>
      <x:c r="B28" s="99"/>
      <x:c r="C28" s="99"/>
      <x:c r="D28" s="99"/>
      <x:c r="E28" s="99"/>
      <x:c r="F28" s="99"/>
      <x:c r="G28" s="99"/>
      <x:c r="H28" s="99"/>
      <x:c r="I28" s="99"/>
    </x:row>
    <x:row r="29">
      <x:c r="A29" s="99"/>
      <x:c r="B29" s="99"/>
      <x:c r="C29" s="99"/>
      <x:c r="D29" s="99"/>
      <x:c r="E29" s="99"/>
      <x:c r="F29" s="99"/>
      <x:c r="G29" s="99"/>
      <x:c r="H29" s="99"/>
      <x:c r="I29" s="99"/>
    </x:row>
    <x:row r="30">
      <x:c r="A30" s="99"/>
      <x:c r="B30" s="99"/>
      <x:c r="C30" s="99"/>
      <x:c r="D30" s="99"/>
      <x:c r="E30" s="99"/>
      <x:c r="F30" s="99"/>
      <x:c r="G30" s="99"/>
      <x:c r="H30" s="99"/>
      <x:c r="I30" s="99"/>
    </x:row>
  </x:sheetData>
  <x:mergeCells>
    <x:mergeCell ref="A1:I1"/>
    <x:mergeCell ref="A2:I2"/>
    <x:mergeCell ref="A28:I30"/>
  </x:mergeCells>
  <x:pageMargins left="0.7" right="0.7" top="0.75" bottom="0.75" header="0.3" footer="0.3"/>
  <x:legacyDrawing xmlns:r="http://schemas.openxmlformats.org/officeDocument/2006/relationships" r:id="R2ef1a00a222a4f73"/>
</x:worksheet>
</file>

<file path=xl/worksheets/sheet6.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18" hidden="0" customWidth="1"/>
    <x:col min="5" max="5" width="17" hidden="0" customWidth="1"/>
    <x:col min="6" max="6" width="21" hidden="0" customWidth="1"/>
    <x:col min="7" max="7" width="23" hidden="0" customWidth="1"/>
    <x:col min="8" max="8" width="19" hidden="0" customWidth="1"/>
    <x:col min="9" max="9" width="17" hidden="0" customWidth="1"/>
    <x:col min="10" max="10" width="48" hidden="0" customWidth="1"/>
    <x:col min="11" max="11" width="2" hidden="0" customWidth="1"/>
  </x:cols>
  <x:sheetData>
    <x:row r="1" ht="19.200000762939453" hidden="0" customHeight="1">
      <x:c r="A1" s="521" t="str">
        <x:v>Recurring Obligations per $100 of Each System’s Own FY2025 Revenue Denominator</x:v>
      </x:c>
      <x:c r="B1" s="5"/>
      <x:c r="C1" s="5"/>
      <x:c r="D1" s="5"/>
      <x:c r="E1" s="5"/>
      <x:c r="F1" s="5"/>
      <x:c r="G1" s="5"/>
      <x:c r="H1" s="5"/>
      <x:c r="I1" s="5"/>
      <x:c r="J1" s="5"/>
      <x:c r="K1" s="5"/>
    </x:row>
    <x:row r="2" ht="15" hidden="0" customHeight="1">
      <x:c r="A2" s="13" t="str">
        <x:v>NTTA uses gross Trust revenue, including investment and other revenue; CTTS and Grand Parkway use operating revenue. Bars reconcile within each system but are not one comparable statewide toll-dollar pie. HCTRA is shown separately because current-year uses also draw on prior cash, investment activity and new borrowing.</x:v>
      </x:c>
      <x:c r="B2" s="13"/>
      <x:c r="C2" s="13"/>
      <x:c r="D2" s="13"/>
      <x:c r="E2" s="13"/>
      <x:c r="F2" s="13"/>
      <x:c r="G2" s="13"/>
      <x:c r="H2" s="13"/>
      <x:c r="I2" s="13"/>
      <x:c r="J2" s="13"/>
      <x:c r="K2" s="13"/>
    </x:row>
    <x:row r="4" ht="20" customHeight="1">
      <x:c r="A4" s="135" t="str">
        <x:v>Recurring obligations by system-specific FY2025 revenue denominator</x:v>
      </x:c>
      <x:c r="B4" s="135"/>
      <x:c r="C4" s="135"/>
      <x:c r="D4" s="135"/>
      <x:c r="E4" s="135"/>
      <x:c r="F4" s="135"/>
      <x:c r="G4" s="135"/>
      <x:c r="H4" s="135"/>
      <x:c r="I4" s="135"/>
    </x:row>
    <x:row r="5" ht="30" customHeight="1">
      <x:c r="A5" s="29" t="str">
        <x:v>System</x:v>
      </x:c>
      <x:c r="B5" s="30" t="str">
        <x:v>Revenue denominator ($mm)</x:v>
      </x:c>
      <x:c r="C5" s="30" t="str">
        <x:v>O&amp;M / operations ($mm)</x:v>
      </x:c>
      <x:c r="D5" s="30" t="str">
        <x:v>Maintenance ($mm)</x:v>
      </x:c>
      <x:c r="E5" s="30" t="str">
        <x:v>Debt service ($mm)</x:v>
      </x:c>
      <x:c r="F5" s="30" t="str">
        <x:v>Transfers ($mm)</x:v>
      </x:c>
      <x:c r="G5" s="30" t="str">
        <x:v>Reserve / capital residual ($mm)</x:v>
      </x:c>
      <x:c r="H5" s="30" t="str">
        <x:v>Total obligations ($mm)</x:v>
      </x:c>
      <x:c r="I5" s="30" t="str">
        <x:v>Reconciliation ($mm)</x:v>
      </x:c>
      <x:c r="J5" s="31" t="str">
        <x:v>Denominator definition</x:v>
      </x:c>
    </x:row>
    <x:row r="6">
      <x:c r="A6" s="56" t="str">
        <x:v>NTTA</x:v>
      </x:c>
      <x:c r="B6" s="79" t="n">
        <x:v>1357.531582</x:v>
      </x:c>
      <x:c r="C6" s="79" t="n">
        <x:v>252.666493</x:v>
      </x:c>
      <x:c r="D6" s="79" t="n">
        <x:v>0</x:v>
      </x:c>
      <x:c r="E6" s="79" t="n">
        <x:v>666.905038</x:v>
      </x:c>
      <x:c r="F6" s="79" t="n">
        <x:v>0</x:v>
      </x:c>
      <x:c r="G6" s="79" t="n">
        <x:v>437.960051</x:v>
      </x:c>
      <x:c r="H6" s="82" t="n">
        <x:f>SUM(C6:G6)</x:f>
        <x:v>1357.531582</x:v>
      </x:c>
      <x:c r="I6" s="82" t="n">
        <x:f>B6-H6</x:f>
        <x:v>0</x:v>
      </x:c>
      <x:c r="J6" s="56" t="str">
        <x:v>Gross Trust revenue: net toll + interest + other revenue; detailed FY2025 MFR is preliminary.</x:v>
      </x:c>
    </x:row>
    <x:row r="7">
      <x:c r="A7" s="48" t="str">
        <x:v>Central Texas Turnpike System</x:v>
      </x:c>
      <x:c r="B7" s="74" t="n">
        <x:v>337.64</x:v>
      </x:c>
      <x:c r="C7" s="74" t="n">
        <x:v>101.87</x:v>
      </x:c>
      <x:c r="D7" s="74" t="n">
        <x:v>65.14</x:v>
      </x:c>
      <x:c r="E7" s="74" t="n">
        <x:v>160.34</x:v>
      </x:c>
      <x:c r="F7" s="74" t="n">
        <x:v>0</x:v>
      </x:c>
      <x:c r="G7" s="74" t="n">
        <x:v>10.29</x:v>
      </x:c>
      <x:c r="H7" s="70" t="n">
        <x:f>SUM(C7:G7)</x:f>
        <x:v>337.64000000000004</x:v>
      </x:c>
      <x:c r="I7" s="70" t="n">
        <x:f>B7-H7</x:f>
        <x:v>-5.684341886080802e-14</x:v>
      </x:c>
      <x:c r="J7" s="48" t="str">
        <x:v>HB803 operating revenue and disclosed recurring obligations.</x:v>
      </x:c>
    </x:row>
    <x:row r="8">
      <x:c r="A8" s="56" t="str">
        <x:v>Grand Parkway System</x:v>
      </x:c>
      <x:c r="B8" s="79" t="n">
        <x:v>393.32</x:v>
      </x:c>
      <x:c r="C8" s="79" t="n">
        <x:v>59.11</x:v>
      </x:c>
      <x:c r="D8" s="79" t="n">
        <x:v>18.97</x:v>
      </x:c>
      <x:c r="E8" s="79" t="n">
        <x:v>175.38</x:v>
      </x:c>
      <x:c r="F8" s="79" t="n">
        <x:v>0</x:v>
      </x:c>
      <x:c r="G8" s="79" t="n">
        <x:v>139.86</x:v>
      </x:c>
      <x:c r="H8" s="82" t="n">
        <x:f>SUM(C8:G8)</x:f>
        <x:v>393.32</x:v>
      </x:c>
      <x:c r="I8" s="82" t="n">
        <x:f>B8-H8</x:f>
        <x:v>0</x:v>
      </x:c>
      <x:c r="J8" s="56" t="str">
        <x:v>HB803 operating revenue and disclosed recurring obligations.</x:v>
      </x:c>
    </x:row>
    <x:row r="10" ht="20" customHeight="1">
      <x:c r="A10" s="135" t="str">
        <x:v>Per $100 of each system’s disclosed revenue denominator</x:v>
      </x:c>
      <x:c r="B10" s="135"/>
      <x:c r="C10" s="135"/>
      <x:c r="D10" s="135"/>
      <x:c r="E10" s="135"/>
      <x:c r="F10" s="135"/>
    </x:row>
    <x:row r="11" ht="30" customHeight="1">
      <x:c r="A11" s="29" t="str">
        <x:v>System</x:v>
      </x:c>
      <x:c r="B11" s="30" t="str">
        <x:v>Operations</x:v>
      </x:c>
      <x:c r="C11" s="30" t="str">
        <x:v>Maintenance</x:v>
      </x:c>
      <x:c r="D11" s="30" t="str">
        <x:v>Debt service</x:v>
      </x:c>
      <x:c r="E11" s="30" t="str">
        <x:v>Transfers</x:v>
      </x:c>
      <x:c r="F11" s="31" t="str">
        <x:v>Unallocated residual / required reserve</x:v>
      </x:c>
    </x:row>
    <x:row r="12">
      <x:c r="A12" s="178" t="str">
        <x:f>A6</x:f>
        <x:v>NTTA</x:v>
      </x:c>
      <x:c r="B12" s="179" t="n">
        <x:f>C6/$B6*100</x:f>
        <x:v>18.612199992265076</x:v>
      </x:c>
      <x:c r="C12" s="179" t="n">
        <x:f>D6/$B6*100</x:f>
        <x:v>0</x:v>
      </x:c>
      <x:c r="D12" s="179" t="n">
        <x:f>E6/$B6*100</x:f>
        <x:v>49.1263000318176</x:v>
      </x:c>
      <x:c r="E12" s="179" t="n">
        <x:f>F6/$B6*100</x:f>
        <x:v>0</x:v>
      </x:c>
      <x:c r="F12" s="179" t="n">
        <x:f>G6/$B6*100</x:f>
        <x:v>32.26149997591732</x:v>
      </x:c>
    </x:row>
    <x:row r="13">
      <x:c r="A13" s="174" t="str">
        <x:f>A7</x:f>
        <x:v>Central Texas Turnpike System</x:v>
      </x:c>
      <x:c r="B13" s="175" t="n">
        <x:f>C7/$B7*100</x:f>
        <x:v>30.17118824783794</x:v>
      </x:c>
      <x:c r="C13" s="175" t="n">
        <x:f>D7/$B7*100</x:f>
        <x:v>19.29273782727165</x:v>
      </x:c>
      <x:c r="D13" s="175" t="n">
        <x:f>E7/$B7*100</x:f>
        <x:v>47.48844923587253</x:v>
      </x:c>
      <x:c r="E13" s="175" t="n">
        <x:f>F7/$B7*100</x:f>
        <x:v>0</x:v>
      </x:c>
      <x:c r="F13" s="175" t="n">
        <x:f>G7/$B7*100</x:f>
        <x:v>3.047624689017889</x:v>
      </x:c>
    </x:row>
    <x:row r="14">
      <x:c r="A14" s="178" t="str">
        <x:f>A8</x:f>
        <x:v>Grand Parkway System</x:v>
      </x:c>
      <x:c r="B14" s="179" t="n">
        <x:f>C8/$B8*100</x:f>
        <x:v>15.02847554154378</x:v>
      </x:c>
      <x:c r="C14" s="179" t="n">
        <x:f>D8/$B8*100</x:f>
        <x:v>4.823044848977931</x:v>
      </x:c>
      <x:c r="D14" s="179" t="n">
        <x:f>E8/$B8*100</x:f>
        <x:v>44.58964710668158</x:v>
      </x:c>
      <x:c r="E14" s="179" t="n">
        <x:f>F8/$B8*100</x:f>
        <x:v>0</x:v>
      </x:c>
      <x:c r="F14" s="179" t="n">
        <x:f>G8/$B8*100</x:f>
        <x:v>35.55883250279671</x:v>
      </x:c>
    </x:row>
    <x:row r="15" ht="79.19999694824219" hidden="0" customHeight="1">
      <x:c r="A15" s="522" t="str">
        <x:v>NTTA note: $32.26 is an algebraic unallocated residual after net O&amp;M and preliminary cash debt service; it is not traced to a named fund. CTTS and Grand Parkway residuals are reported as bond-required reserves.</x:v>
      </x:c>
    </x:row>
    <x:row r="17" ht="20" customHeight="1">
      <x:c r="A17" s="143" t="str">
        <x:v>HCTRA: claims measured against FY2025 toll revenue — not a stacked waterfall</x:v>
      </x:c>
      <x:c r="B17" s="143"/>
      <x:c r="C17" s="143"/>
      <x:c r="D17" s="143"/>
      <x:c r="E17" s="143"/>
      <x:c r="F17" s="143"/>
    </x:row>
    <x:row r="18" ht="30" customHeight="1">
      <x:c r="A18" s="157" t="str">
        <x:v>Claim</x:v>
      </x:c>
      <x:c r="B18" s="158" t="str">
        <x:v>Amount ($mm)</x:v>
      </x:c>
      <x:c r="C18" s="158" t="str">
        <x:v>Per $100 of toll revenue</x:v>
      </x:c>
      <x:c r="D18" s="158" t="str">
        <x:v>Funding note</x:v>
      </x:c>
      <x:c r="E18" s="158" t="str">
        <x:v>Source</x:v>
      </x:c>
      <x:c r="F18" s="159" t="str">
        <x:v>Comparability</x:v>
      </x:c>
    </x:row>
    <x:row r="19">
      <x:c r="A19" s="56" t="str">
        <x:v>Employee + vendor cash payments</x:v>
      </x:c>
      <x:c r="B19" s="106" t="n">
        <x:f>SUM('04_Cash_Waterfall'!C15:C16)</x:f>
        <x:v>404.76309399999997</x:v>
      </x:c>
      <x:c r="C19" s="179" t="n">
        <x:f>B19/'03_Accounting_View'!C6*100</x:f>
        <x:v>39.39019220711741</x:v>
      </x:c>
      <x:c r="D19" s="56" t="str">
        <x:v>Current receipts plus broader system cash</x:v>
      </x:c>
      <x:c r="E19" s="56" t="str">
        <x:v>S05</x:v>
      </x:c>
      <x:c r="F19" s="56" t="str">
        <x:v>Comparable as a cash-use claim only</x:v>
      </x:c>
    </x:row>
    <x:row r="20">
      <x:c r="A20" s="48" t="str">
        <x:v>Bond principal + cash interest</x:v>
      </x:c>
      <x:c r="B20" s="104" t="n">
        <x:f>SUM('04_Cash_Waterfall'!C17:C18)</x:f>
        <x:v>242.012763</x:v>
      </x:c>
      <x:c r="C20" s="175" t="n">
        <x:f>B20/'03_Accounting_View'!C6*100</x:f>
        <x:v>23.551873657595753</x:v>
      </x:c>
      <x:c r="D20" s="48" t="str">
        <x:v>Current receipts, reserves and financing structure</x:v>
      </x:c>
      <x:c r="E20" s="48" t="str">
        <x:v>S05</x:v>
      </x:c>
      <x:c r="F20" s="48" t="str">
        <x:v>Principal is not an accounting expense</x:v>
      </x:c>
    </x:row>
    <x:row r="21">
      <x:c r="A21" s="56" t="str">
        <x:v>County mobility / thoroughfare transfer</x:v>
      </x:c>
      <x:c r="B21" s="106" t="n">
        <x:f>'04_Cash_Waterfall'!C21</x:f>
        <x:v>398.613674</x:v>
      </x:c>
      <x:c r="C21" s="179" t="n">
        <x:f>B21/'03_Accounting_View'!C6*100</x:f>
        <x:v>38.791751194700666</x:v>
      </x:c>
      <x:c r="D21" s="56" t="str">
        <x:v>Transfer authorized for transportation purposes; not general operations</x:v>
      </x:c>
      <x:c r="E21" s="56" t="str">
        <x:v>S05–S06</x:v>
      </x:c>
      <x:c r="F21" s="56" t="str">
        <x:v>Public transfer, not owner distribution</x:v>
      </x:c>
    </x:row>
    <x:row r="22">
      <x:c r="A22" s="48" t="str">
        <x:v>Capital-asset purchases</x:v>
      </x:c>
      <x:c r="B22" s="104" t="n">
        <x:f>'04_Cash_Waterfall'!C20</x:f>
        <x:v>315.269617</x:v>
      </x:c>
      <x:c r="C22" s="175" t="n">
        <x:f>B22/'03_Accounting_View'!C6*100</x:f>
        <x:v>30.68098597619251</x:v>
      </x:c>
      <x:c r="D22" s="48" t="str">
        <x:v>Can use current cash, prior reserves, debt proceeds and investment maturities</x:v>
      </x:c>
      <x:c r="E22" s="48" t="str">
        <x:v>S05</x:v>
      </x:c>
      <x:c r="F22" s="48" t="str">
        <x:v>Cannot be attributed solely to current tolls</x:v>
      </x:c>
    </x:row>
    <x:row r="23">
      <x:c r="A23" s="123" t="str">
        <x:v>Total claims shown</x:v>
      </x:c>
      <x:c r="B23" s="124" t="n">
        <x:f>SUM(B19:B22)</x:f>
        <x:v>1360.659148</x:v>
      </x:c>
      <x:c r="C23" s="124" t="n">
        <x:f>B23/'03_Accounting_View'!C6*100</x:f>
        <x:v>132.41480303560633</x:v>
      </x:c>
      <x:c r="D23" s="123" t="str">
        <x:v>Exceeds current-year toll revenue because the system has other funding sources</x:v>
      </x:c>
      <x:c r="E23" s="123" t="str">
        <x:v>Calculated</x:v>
      </x:c>
      <x:c r="F23" s="123" t="str">
        <x:v>Do not stack to 100%</x:v>
      </x:c>
    </x:row>
    <x:row r="25">
      <x:c r="A25" s="99" t="str">
        <x:v>Interpretation: this is not a statewide toll-dollar pie. NTTA’s denominator includes investment and other revenue; TxDOT uses operating revenue. The comparison shows internally reconciled recurring claims using different disclosed denominators and accounting presentations.</x:v>
      </x:c>
      <x:c r="B25" s="99"/>
      <x:c r="C25" s="99"/>
      <x:c r="D25" s="99"/>
      <x:c r="E25" s="99"/>
      <x:c r="F25" s="99"/>
      <x:c r="G25" s="99"/>
      <x:c r="H25" s="99"/>
      <x:c r="I25" s="99"/>
      <x:c r="J25" s="99"/>
    </x:row>
    <x:row r="26">
      <x:c r="A26" s="99"/>
      <x:c r="B26" s="99"/>
      <x:c r="C26" s="99"/>
      <x:c r="D26" s="99"/>
      <x:c r="E26" s="99"/>
      <x:c r="F26" s="99"/>
      <x:c r="G26" s="99"/>
      <x:c r="H26" s="99"/>
      <x:c r="I26" s="99"/>
      <x:c r="J26" s="99"/>
    </x:row>
    <x:row r="27">
      <x:c r="A27" s="99"/>
      <x:c r="B27" s="99"/>
      <x:c r="C27" s="99"/>
      <x:c r="D27" s="99"/>
      <x:c r="E27" s="99"/>
      <x:c r="F27" s="99"/>
      <x:c r="G27" s="99"/>
      <x:c r="H27" s="99"/>
      <x:c r="I27" s="99"/>
      <x:c r="J27" s="99"/>
    </x:row>
    <x:row r="37">
      <x:c r="L37" t="str">
        <x:v>Claim</x:v>
      </x:c>
      <x:c r="M37" t="str">
        <x:v>Per $100</x:v>
      </x:c>
    </x:row>
    <x:row r="38">
      <x:c r="L38" t="str">
        <x:v>Employee + vendor</x:v>
      </x:c>
      <x:c r="M38" t="n">
        <x:f>C19</x:f>
        <x:v>39.39019220711741</x:v>
      </x:c>
    </x:row>
    <x:row r="39">
      <x:c r="L39" t="str">
        <x:v>Principal + interest</x:v>
      </x:c>
      <x:c r="M39" t="n">
        <x:f>C20</x:f>
        <x:v>23.551873657595753</x:v>
      </x:c>
    </x:row>
    <x:row r="40">
      <x:c r="L40" t="str">
        <x:v>Mobility transfer</x:v>
      </x:c>
      <x:c r="M40" t="n">
        <x:f>C21</x:f>
        <x:v>38.791751194700666</x:v>
      </x:c>
    </x:row>
    <x:row r="41">
      <x:c r="L41" t="str">
        <x:v>Capital assets</x:v>
      </x:c>
      <x:c r="M41" t="n">
        <x:f>C22</x:f>
        <x:v>30.68098597619251</x:v>
      </x:c>
    </x:row>
  </x:sheetData>
  <x:mergeCells>
    <x:mergeCell ref="A1:K1"/>
    <x:mergeCell ref="A2:K2"/>
    <x:mergeCell ref="A4:I4"/>
    <x:mergeCell ref="A10:F10"/>
    <x:mergeCell ref="A17:F17"/>
    <x:mergeCell ref="A25:J27"/>
  </x:mergeCells>
  <x:pageMargins left="0.7" right="0.7" top="0.75" bottom="0.75" header="0.3" footer="0.3"/>
  <x:drawing xmlns:r="http://schemas.openxmlformats.org/officeDocument/2006/relationships" r:id="Rfaf5a9d46fe84e43"/>
  <x:legacyDrawing xmlns:r="http://schemas.openxmlformats.org/officeDocument/2006/relationships" r:id="Rf32a050b090b49f5"/>
</x:worksheet>
</file>

<file path=xl/worksheets/sheet7.xml><?xml version="1.0" encoding="utf-8"?>
<x:worksheet xmlns:x="http://schemas.openxmlformats.org/spreadsheetml/2006/main">
  <x:sheetFormatPr defaultRowHeight="15"/>
  <x:cols>
    <x:col min="1" max="1" width="22" hidden="0" customWidth="1"/>
    <x:col min="2" max="2" width="30" hidden="0" customWidth="1"/>
    <x:col min="3" max="3" width="10" hidden="0" customWidth="1"/>
    <x:col min="4" max="4" width="18" hidden="0" customWidth="1"/>
    <x:col min="5" max="5" width="21" hidden="0" customWidth="1"/>
    <x:col min="6" max="6" width="14" hidden="0" customWidth="1"/>
    <x:col min="7" max="7" width="43" hidden="0" customWidth="1"/>
    <x:col min="8" max="8" width="2" hidden="0" customWidth="1"/>
  </x:cols>
  <x:sheetData>
    <x:row r="1" ht="28" customHeight="1">
      <x:c r="A1" s="5" t="str">
        <x:v>Five-Year Trend — HCTRA Toll Revenue</x:v>
      </x:c>
      <x:c r="B1" s="5"/>
      <x:c r="C1" s="5"/>
      <x:c r="D1" s="5"/>
      <x:c r="E1" s="5"/>
      <x:c r="F1" s="5"/>
      <x:c r="G1" s="5"/>
      <x:c r="H1" s="5"/>
    </x:row>
    <x:row r="2" ht="34" customHeight="1">
      <x:c r="A2" s="13" t="str">
        <x:v>Harris County changed fiscal year-end. The seven-month transition period ended September 2022 is shown but excluded from the annual trend and growth formulas.</x:v>
      </x:c>
      <x:c r="B2" s="13"/>
      <x:c r="C2" s="13"/>
      <x:c r="D2" s="13"/>
      <x:c r="E2" s="13"/>
      <x:c r="F2" s="13"/>
      <x:c r="G2" s="13"/>
      <x:c r="H2" s="13"/>
    </x:row>
    <x:row r="4" ht="30" customHeight="1">
      <x:c r="A4" s="29" t="str">
        <x:v>Period label</x:v>
      </x:c>
      <x:c r="B4" s="30" t="str">
        <x:v>Period end / basis</x:v>
      </x:c>
      <x:c r="C4" s="30" t="str">
        <x:v>Months</x:v>
      </x:c>
      <x:c r="D4" s="30" t="str">
        <x:v>Toll revenue ($mm)</x:v>
      </x:c>
      <x:c r="E4" s="30" t="str">
        <x:v>Comparable annual period?</x:v>
      </x:c>
      <x:c r="F4" s="30" t="str">
        <x:v>YoY growth</x:v>
      </x:c>
      <x:c r="G4" s="31" t="str">
        <x:v>Source / note</x:v>
      </x:c>
    </x:row>
    <x:row r="5">
      <x:c r="A5" s="56" t="str">
        <x:v>FY2021</x:v>
      </x:c>
      <x:c r="B5" s="56" t="str">
        <x:v>Legacy 12-month fiscal year</x:v>
      </x:c>
      <x:c r="C5" s="216" t="n">
        <x:v>12</x:v>
      </x:c>
      <x:c r="D5" s="217" t="n">
        <x:v>551.278</x:v>
      </x:c>
      <x:c r="E5" s="218" t="b">
        <x:v>1</x:v>
      </x:c>
      <x:c r="F5" s="219"/>
      <x:c r="G5" s="56" t="str">
        <x:v>S05, statistical schedule; $000 converted to $mm</x:v>
      </x:c>
    </x:row>
    <x:row r="6">
      <x:c r="A6" s="48" t="str">
        <x:v>FY2022</x:v>
      </x:c>
      <x:c r="B6" s="48" t="str">
        <x:v>Legacy 12-month fiscal year</x:v>
      </x:c>
      <x:c r="C6" s="200" t="n">
        <x:v>12</x:v>
      </x:c>
      <x:c r="D6" s="206" t="n">
        <x:v>808.932</x:v>
      </x:c>
      <x:c r="E6" s="202" t="b">
        <x:v>1</x:v>
      </x:c>
      <x:c r="F6" s="198" t="n">
        <x:f>D6/D5-1</x:f>
        <x:v>0.4673758067617426</x:v>
      </x:c>
      <x:c r="G6" s="48" t="str">
        <x:v>S05, statistical schedule; $000 converted to $mm</x:v>
      </x:c>
    </x:row>
    <x:row r="7">
      <x:c r="A7" s="91" t="str">
        <x:v>Transition period</x:v>
      </x:c>
      <x:c r="B7" s="91" t="str">
        <x:v>Seven months ended 2022-09-30</x:v>
      </x:c>
      <x:c r="C7" s="208" t="n">
        <x:v>7</x:v>
      </x:c>
      <x:c r="D7" s="209" t="n">
        <x:v>532.151</x:v>
      </x:c>
      <x:c r="E7" s="210" t="b">
        <x:v>0</x:v>
      </x:c>
      <x:c r="F7" s="211"/>
      <x:c r="G7" s="91" t="str">
        <x:v>S05; excluded from annual line</x:v>
      </x:c>
    </x:row>
    <x:row r="8">
      <x:c r="A8" s="56" t="str">
        <x:v>FY2023</x:v>
      </x:c>
      <x:c r="B8" s="56" t="str">
        <x:v>Year ended 2023-09-30</x:v>
      </x:c>
      <x:c r="C8" s="216" t="n">
        <x:v>12</x:v>
      </x:c>
      <x:c r="D8" s="217" t="n">
        <x:v>896.351</x:v>
      </x:c>
      <x:c r="E8" s="218" t="b">
        <x:v>1</x:v>
      </x:c>
      <x:c r="F8" s="219" t="n">
        <x:f>D8/D6-1</x:f>
        <x:v>0.10806717993601445</x:v>
      </x:c>
      <x:c r="G8" s="56" t="str">
        <x:v>S05</x:v>
      </x:c>
    </x:row>
    <x:row r="9">
      <x:c r="A9" s="48" t="str">
        <x:v>FY2024</x:v>
      </x:c>
      <x:c r="B9" s="48" t="str">
        <x:v>Year ended 2024-09-30</x:v>
      </x:c>
      <x:c r="C9" s="200" t="n">
        <x:v>12</x:v>
      </x:c>
      <x:c r="D9" s="206" t="n">
        <x:v>874.475</x:v>
      </x:c>
      <x:c r="E9" s="202" t="b">
        <x:v>1</x:v>
      </x:c>
      <x:c r="F9" s="198" t="n">
        <x:f>D9/D8-1</x:f>
        <x:v>-0.02440561788852802</x:v>
      </x:c>
      <x:c r="G9" s="48" t="str">
        <x:v>S05</x:v>
      </x:c>
    </x:row>
    <x:row r="10">
      <x:c r="A10" s="56" t="str">
        <x:v>FY2025</x:v>
      </x:c>
      <x:c r="B10" s="56" t="str">
        <x:v>Year ended 2025-09-30</x:v>
      </x:c>
      <x:c r="C10" s="216" t="n">
        <x:v>12</x:v>
      </x:c>
      <x:c r="D10" s="217" t="n">
        <x:v>1027.573</x:v>
      </x:c>
      <x:c r="E10" s="218" t="b">
        <x:v>1</x:v>
      </x:c>
      <x:c r="F10" s="219" t="n">
        <x:f>D10/D9-1</x:f>
        <x:v>0.1750741873695647</x:v>
      </x:c>
      <x:c r="G10" s="56" t="str">
        <x:v>S05</x:v>
      </x:c>
    </x:row>
    <x:row r="12" ht="30" customHeight="1">
      <x:c r="A12" s="29" t="str">
        <x:v>Five-year CAGR</x:v>
      </x:c>
      <x:c r="B12" s="30" t="str">
        <x:v>Formula</x:v>
      </x:c>
      <x:c r="C12" s="31" t="str">
        <x:v>Result</x:v>
      </x:c>
    </x:row>
    <x:row r="13">
      <x:c r="A13" s="48" t="str">
        <x:v>FY2021 to FY2025</x:v>
      </x:c>
      <x:c r="B13" s="48" t="str">
        <x:v>=(FY2025/FY2021)^(1/4)-1</x:v>
      </x:c>
      <x:c r="C13" s="198" t="n">
        <x:f>(D10/D5)^(1/4)-1</x:f>
        <x:v>0.1684510031833517</x:v>
      </x:c>
    </x:row>
    <x:row r="16">
      <x:c r="A16" t="str">
        <x:v>Fiscal year</x:v>
      </x:c>
      <x:c r="B16" t="str">
        <x:v>Toll revenue ($mm)</x:v>
      </x:c>
    </x:row>
    <x:row r="17">
      <x:c r="A17" t="str">
        <x:v>FY2021</x:v>
      </x:c>
      <x:c r="B17" t="n">
        <x:v>551.278</x:v>
      </x:c>
    </x:row>
    <x:row r="18">
      <x:c r="A18" t="str">
        <x:v>FY2022</x:v>
      </x:c>
      <x:c r="B18" t="n">
        <x:v>808.932</x:v>
      </x:c>
    </x:row>
    <x:row r="19">
      <x:c r="A19" t="str">
        <x:v>FY2023</x:v>
      </x:c>
      <x:c r="B19" t="n">
        <x:v>896.351</x:v>
      </x:c>
    </x:row>
    <x:row r="20">
      <x:c r="A20" t="str">
        <x:v>FY2024</x:v>
      </x:c>
      <x:c r="B20" t="n">
        <x:v>874.475</x:v>
      </x:c>
    </x:row>
    <x:row r="21">
      <x:c r="A21" t="str">
        <x:v>FY2025</x:v>
      </x:c>
      <x:c r="B21" t="n">
        <x:v>1027.573</x:v>
      </x:c>
    </x:row>
  </x:sheetData>
  <x:mergeCells>
    <x:mergeCell ref="A1:H1"/>
    <x:mergeCell ref="A2:H2"/>
  </x:mergeCells>
  <x:pageMargins left="0.7" right="0.7" top="0.75" bottom="0.75" header="0.3" footer="0.3"/>
  <x:drawing xmlns:r="http://schemas.openxmlformats.org/officeDocument/2006/relationships" r:id="R38a57b00f94c4ab2"/>
  <x:legacyDrawing xmlns:r="http://schemas.openxmlformats.org/officeDocument/2006/relationships" r:id="R0d57ea442cd84ab9"/>
</x:worksheet>
</file>

<file path=xl/worksheets/sheet8.xml><?xml version="1.0" encoding="utf-8"?>
<x:worksheet xmlns:x="http://schemas.openxmlformats.org/spreadsheetml/2006/main">
  <x:sheetFormatPr defaultRowHeight="15"/>
  <x:cols>
    <x:col min="1" max="1" width="12" hidden="0" customWidth="1"/>
    <x:col min="2" max="2" width="29" hidden="0" customWidth="1"/>
    <x:col min="3" max="3" width="30" hidden="0" customWidth="1"/>
    <x:col min="4" max="4" width="15" hidden="0" customWidth="1"/>
    <x:col min="5" max="5" width="24" hidden="0" customWidth="1"/>
    <x:col min="6" max="6" width="43" hidden="0" customWidth="1"/>
    <x:col min="7" max="7" width="46" hidden="0" customWidth="1"/>
    <x:col min="8" max="8" width="20" hidden="0" customWidth="1"/>
    <x:col min="9" max="9" width="14" hidden="0" customWidth="1"/>
    <x:col min="10" max="10" width="15" hidden="0" customWidth="1"/>
    <x:col min="11" max="11" width="37" hidden="0" customWidth="1"/>
  </x:cols>
  <x:sheetData>
    <x:row r="1" ht="28" customHeight="1">
      <x:c r="A1" s="5" t="str">
        <x:v>Debt, Refinancing and Concession Timeline</x:v>
      </x:c>
      <x:c r="B1" s="5"/>
      <x:c r="C1" s="5"/>
      <x:c r="D1" s="5"/>
      <x:c r="E1" s="5"/>
      <x:c r="F1" s="5"/>
      <x:c r="G1" s="5"/>
      <x:c r="H1" s="5"/>
      <x:c r="I1" s="5"/>
      <x:c r="J1" s="5"/>
      <x:c r="K1" s="5"/>
    </x:row>
    <x:row r="2" ht="34" customHeight="1">
      <x:c r="A2" s="13" t="str">
        <x:v>A maturity date is not a promise that tolls end on that date. Refinancing, new borrowing, reserve covenants, statutory authority and concession terms are tracked separately.</x:v>
      </x:c>
      <x:c r="B2" s="13"/>
      <x:c r="C2" s="13"/>
      <x:c r="D2" s="13"/>
      <x:c r="E2" s="13"/>
      <x:c r="F2" s="13"/>
      <x:c r="G2" s="13"/>
      <x:c r="H2" s="13"/>
      <x:c r="I2" s="13"/>
      <x:c r="J2" s="13"/>
      <x:c r="K2" s="13"/>
    </x:row>
    <x:row r="4" ht="30" customHeight="1">
      <x:c r="A4" s="29" t="str">
        <x:v>Date / year</x:v>
      </x:c>
      <x:c r="B4" s="30" t="str">
        <x:v>System / facility</x:v>
      </x:c>
      <x:c r="C4" s="30" t="str">
        <x:v>Event type</x:v>
      </x:c>
      <x:c r="D4" s="30" t="str">
        <x:v>Amount ($mm)</x:v>
      </x:c>
      <x:c r="E4" s="30" t="str">
        <x:v>Debt / contract endpoint</x:v>
      </x:c>
      <x:c r="F4" s="30" t="str">
        <x:v>What changed</x:v>
      </x:c>
      <x:c r="G4" s="30" t="str">
        <x:v>Effect on tolling question</x:v>
      </x:c>
      <x:c r="H4" s="30" t="str">
        <x:v>Public / private</x:v>
      </x:c>
      <x:c r="I4" s="30" t="str">
        <x:v>Source</x:v>
      </x:c>
      <x:c r="J4" s="30" t="str">
        <x:v>Confidence</x:v>
      </x:c>
      <x:c r="K4" s="31" t="str">
        <x:v>Update trigger</x:v>
      </x:c>
    </x:row>
    <x:row r="5">
      <x:c r="A5" s="48" t="n">
        <x:v>2012</x:v>
      </x:c>
      <x:c r="B5" s="48" t="str">
        <x:v>SH 130 Segments 5–6</x:v>
      </x:c>
      <x:c r="C5" s="48" t="str">
        <x:v>Opened under facility concession agreement</x:v>
      </x:c>
      <x:c r="D5" s="74" t="n">
        <x:v>1328</x:v>
      </x:c>
      <x:c r="E5" s="48" t="str">
        <x:v>2062 concession end</x:v>
      </x:c>
      <x:c r="F5" s="48" t="str">
        <x:v>Private concession company began operating state-owned road under 50-year agreement</x:v>
      </x:c>
      <x:c r="G5" s="48" t="str">
        <x:v>Contractual toll rights continue independently of original project-cost recovery</x:v>
      </x:c>
      <x:c r="H5" s="48" t="str">
        <x:v>Hybrid concession</x:v>
      </x:c>
      <x:c r="I5" s="48" t="str">
        <x:v>S21–S23</x:v>
      </x:c>
      <x:c r="J5" s="48" t="str">
        <x:v>High</x:v>
      </x:c>
      <x:c r="K5" s="48" t="str">
        <x:v>Amendment, default, sale or early termination</x:v>
      </x:c>
    </x:row>
    <x:row r="6">
      <x:c r="A6" s="56" t="n">
        <x:v>2014</x:v>
      </x:c>
      <x:c r="B6" s="56" t="str">
        <x:v>North Tarrant Express</x:v>
      </x:c>
      <x:c r="C6" s="56" t="str">
        <x:v>Opened / concession operations</x:v>
      </x:c>
      <x:c r="D6" s="79" t="n">
        <x:v>2122</x:v>
      </x:c>
      <x:c r="E6" s="56" t="str">
        <x:v>2061 concession end</x:v>
      </x:c>
      <x:c r="F6" s="56" t="str">
        <x:v>52-year revenue-risk concession entered operations</x:v>
      </x:c>
      <x:c r="G6" s="56" t="str">
        <x:v>Tolling follows concession and finance documents, not a construction invoice</x:v>
      </x:c>
      <x:c r="H6" s="56" t="str">
        <x:v>Hybrid concession</x:v>
      </x:c>
      <x:c r="I6" s="56" t="str">
        <x:v>S18, S17</x:v>
      </x:c>
      <x:c r="J6" s="56" t="str">
        <x:v>High</x:v>
      </x:c>
      <x:c r="K6" s="56" t="str">
        <x:v>Refinancing, ownership or CDA change</x:v>
      </x:c>
    </x:row>
    <x:row r="7">
      <x:c r="A7" s="48" t="n">
        <x:v>2015</x:v>
      </x:c>
      <x:c r="B7" s="48" t="str">
        <x:v>LBJ Express</x:v>
      </x:c>
      <x:c r="C7" s="48" t="str">
        <x:v>Opened / concession operations</x:v>
      </x:c>
      <x:c r="D7" s="74" t="n">
        <x:v>2645</x:v>
      </x:c>
      <x:c r="E7" s="48" t="str">
        <x:v>2061 concession end</x:v>
      </x:c>
      <x:c r="F7" s="48" t="str">
        <x:v>52-year revenue-risk concession entered operations</x:v>
      </x:c>
      <x:c r="G7" s="48" t="str">
        <x:v>Same distinction between public title and private toll-revenue rights</x:v>
      </x:c>
      <x:c r="H7" s="48" t="str">
        <x:v>Hybrid concession</x:v>
      </x:c>
      <x:c r="I7" s="48" t="str">
        <x:v>S19, S17</x:v>
      </x:c>
      <x:c r="J7" s="48" t="str">
        <x:v>High</x:v>
      </x:c>
      <x:c r="K7" s="48" t="str">
        <x:v>Refinancing, ownership or CDA change</x:v>
      </x:c>
    </x:row>
    <x:row r="8">
      <x:c r="A8" s="56" t="n">
        <x:v>2016</x:v>
      </x:c>
      <x:c r="B8" s="56" t="str">
        <x:v>SH 130 Segments 5–6</x:v>
      </x:c>
      <x:c r="C8" s="56" t="str">
        <x:v>Chapter 11 filing</x:v>
      </x:c>
      <x:c r="D8" s="79"/>
      <x:c r="E8" s="56" t="str">
        <x:v>Concession continued</x:v>
      </x:c>
      <x:c r="F8" s="56" t="str">
        <x:v>Original capital structure failed</x:v>
      </x:c>
      <x:c r="G8" s="56" t="str">
        <x:v>Bankruptcy did not automatically make the road free</x:v>
      </x:c>
      <x:c r="H8" s="56" t="str">
        <x:v>Hybrid concession</x:v>
      </x:c>
      <x:c r="I8" s="56" t="str">
        <x:v>S23</x:v>
      </x:c>
      <x:c r="J8" s="56" t="str">
        <x:v>High</x:v>
      </x:c>
      <x:c r="K8" s="56" t="str">
        <x:v>Bankruptcy/court or contract filing</x:v>
      </x:c>
    </x:row>
    <x:row r="9">
      <x:c r="A9" s="48" t="n">
        <x:v>2017</x:v>
      </x:c>
      <x:c r="B9" s="48" t="str">
        <x:v>SH 130 Segments 5–6</x:v>
      </x:c>
      <x:c r="C9" s="48" t="str">
        <x:v>Emerged from restructuring</x:v>
      </x:c>
      <x:c r="D9" s="74"/>
      <x:c r="E9" s="48" t="str">
        <x:v>2062 concession end</x:v>
      </x:c>
      <x:c r="F9" s="48" t="str">
        <x:v>Debt/equity ownership was restructured</x:v>
      </x:c>
      <x:c r="G9" s="48" t="str">
        <x:v>Private rights and tolling survived a change in capital owners</x:v>
      </x:c>
      <x:c r="H9" s="48" t="str">
        <x:v>Hybrid concession</x:v>
      </x:c>
      <x:c r="I9" s="48" t="str">
        <x:v>S23–S24</x:v>
      </x:c>
      <x:c r="J9" s="48" t="str">
        <x:v>Medium-high</x:v>
      </x:c>
      <x:c r="K9" s="48" t="str">
        <x:v>Current ultimate equity disclosure</x:v>
      </x:c>
    </x:row>
    <x:row r="10">
      <x:c r="A10" s="56" t="n">
        <x:v>2024</x:v>
      </x:c>
      <x:c r="B10" s="56" t="str">
        <x:v>SH 288</x:v>
      </x:c>
      <x:c r="C10" s="56" t="str">
        <x:v>CDA termination / public buyback</x:v>
      </x:c>
      <x:c r="D10" s="79" t="n">
        <x:v>1731.730721</x:v>
      </x:c>
      <x:c r="E10" s="56" t="str">
        <x:v>Private CDA terminated 2024-10-08</x:v>
      </x:c>
      <x:c r="F10" s="56" t="str">
        <x:v>TxDOT paid to terminate toll-revenue and operating rights; control reverted to TxDOT</x:v>
      </x:c>
      <x:c r="G10" s="56" t="str">
        <x:v>State bought contractual rights, then continued tolling publicly</x:v>
      </x:c>
      <x:c r="H10" s="56" t="str">
        <x:v>Public after termination</x:v>
      </x:c>
      <x:c r="I10" s="56" t="str">
        <x:v>S13–S16</x:v>
      </x:c>
      <x:c r="J10" s="56" t="str">
        <x:v>High</x:v>
      </x:c>
      <x:c r="K10" s="56" t="str">
        <x:v>TTFC refinancing, toll-rate or expansion action</x:v>
      </x:c>
    </x:row>
    <x:row r="11">
      <x:c r="A11" s="48" t="n">
        <x:v>2025</x:v>
      </x:c>
      <x:c r="B11" s="48" t="str">
        <x:v>NTTA</x:v>
      </x:c>
      <x:c r="C11" s="48" t="str">
        <x:v>Series 2025A/B refunding</x:v>
      </x:c>
      <x:c r="D11" s="74" t="n">
        <x:v>630.46</x:v>
      </x:c>
      <x:c r="E11" s="48" t="str">
        <x:v>System bonds extend through 2052</x:v>
      </x:c>
      <x:c r="F11" s="48" t="str">
        <x:v>Refunding bonds and escrow changed debt structure without paying off the system</x:v>
      </x:c>
      <x:c r="G11" s="48" t="str">
        <x:v>Refinancing changes debt service and maturity profile; it is not toll removal</x:v>
      </x:c>
      <x:c r="H11" s="48" t="str">
        <x:v>Public authority</x:v>
      </x:c>
      <x:c r="I11" s="48" t="str">
        <x:v>S02–S04</x:v>
      </x:c>
      <x:c r="J11" s="48" t="str">
        <x:v>Medium-high</x:v>
      </x:c>
      <x:c r="K11" s="48" t="str">
        <x:v>Final official statement / later refunding</x:v>
      </x:c>
    </x:row>
    <x:row r="12">
      <x:c r="A12" s="56" t="n">
        <x:v>2025</x:v>
      </x:c>
      <x:c r="B12" s="56" t="str">
        <x:v>CTTS</x:v>
      </x:c>
      <x:c r="C12" s="56" t="str">
        <x:v>FY2025 debt and capital plan</x:v>
      </x:c>
      <x:c r="D12" s="79" t="str"/>
      <x:c r="E12" s="56" t="str">
        <x:v>2042 final maturity</x:v>
      </x:c>
      <x:c r="F12" s="56" t="str">
        <x:v>FY2026–2030 capital plan disclosed at $189m</x:v>
      </x:c>
      <x:c r="G12" s="56" t="str">
        <x:v>Existing revenue can support continuing system capital needs</x:v>
      </x:c>
      <x:c r="H12" s="56" t="str">
        <x:v>Public TxDOT system</x:v>
      </x:c>
      <x:c r="I12" s="56" t="str">
        <x:v>S11–S12</x:v>
      </x:c>
      <x:c r="J12" s="56" t="str">
        <x:v>High</x:v>
      </x:c>
      <x:c r="K12" s="56" t="str">
        <x:v>New debt, defeasance or capital-plan update</x:v>
      </x:c>
    </x:row>
    <x:row r="13">
      <x:c r="A13" s="48" t="n">
        <x:v>2025</x:v>
      </x:c>
      <x:c r="B13" s="48" t="str">
        <x:v>Grand Parkway</x:v>
      </x:c>
      <x:c r="C13" s="48" t="str">
        <x:v>FY2025 debt and capital plan</x:v>
      </x:c>
      <x:c r="D13" s="74" t="str"/>
      <x:c r="E13" s="48" t="str">
        <x:v>2053 final maturity</x:v>
      </x:c>
      <x:c r="F13" s="48" t="str">
        <x:v>FY2026–2030 capital plan disclosed at $440m</x:v>
      </x:c>
      <x:c r="G13" s="48" t="str">
        <x:v>Large future capital program coexists with ongoing debt service</x:v>
      </x:c>
      <x:c r="H13" s="48" t="str">
        <x:v>Public TxDOT system</x:v>
      </x:c>
      <x:c r="I13" s="48" t="str">
        <x:v>S11–S12</x:v>
      </x:c>
      <x:c r="J13" s="48" t="str">
        <x:v>High</x:v>
      </x:c>
      <x:c r="K13" s="48" t="str">
        <x:v>New debt, defeasance or capital-plan update</x:v>
      </x:c>
    </x:row>
    <x:row r="14">
      <x:c r="A14" s="56" t="n">
        <x:v>2025</x:v>
      </x:c>
      <x:c r="B14" s="56" t="str">
        <x:v>HCTRA</x:v>
      </x:c>
      <x:c r="C14" s="56" t="str">
        <x:v>Outstanding debt / transfer structure</x:v>
      </x:c>
      <x:c r="D14" s="79" t="n">
        <x:v>2759.265</x:v>
      </x:c>
      <x:c r="E14" s="56" t="str">
        <x:v>Bonds mature through 2054</x:v>
      </x:c>
      <x:c r="F14" s="56" t="str">
        <x:v>System carried debt while transferring $398.6m to county mobility/thoroughfare program</x:v>
      </x:c>
      <x:c r="G14" s="56" t="str">
        <x:v>A road-level payoff claim cannot establish system debt-free status</x:v>
      </x:c>
      <x:c r="H14" s="56" t="str">
        <x:v>County public system</x:v>
      </x:c>
      <x:c r="I14" s="56" t="str">
        <x:v>S05–S07</x:v>
      </x:c>
      <x:c r="J14" s="56" t="str">
        <x:v>High</x:v>
      </x:c>
      <x:c r="K14" s="56" t="str">
        <x:v>Defeasance, new debt, transfer-policy or §284 order</x:v>
      </x:c>
    </x:row>
    <x:row r="15">
      <x:c r="A15" s="48" t="n">
        <x:v>2025</x:v>
      </x:c>
      <x:c r="B15" s="48" t="str">
        <x:v>NTE / LBJ / NTE 35W</x:v>
      </x:c>
      <x:c r="C15" s="48" t="str">
        <x:v>Sponsor distributions</x:v>
      </x:c>
      <x:c r="D15" s="74" t="n">
        <x:v>553</x:v>
      </x:c>
      <x:c r="E15" s="48" t="str">
        <x:v>Concessions end 2061</x:v>
      </x:c>
      <x:c r="F15" s="48" t="str">
        <x:v>Three DFW concessions reported $553m of FY2025 dividends after project constraints</x:v>
      </x:c>
      <x:c r="G15" s="48" t="str">
        <x:v>Private distributions exist, but EBITDA and gross toll revenue are not distributable cash</x:v>
      </x:c>
      <x:c r="H15" s="48" t="str">
        <x:v>Hybrid concessions</x:v>
      </x:c>
      <x:c r="I15" s="48" t="str">
        <x:v>S17</x:v>
      </x:c>
      <x:c r="J15" s="48" t="str">
        <x:v>High for sponsor disclosure</x:v>
      </x:c>
      <x:c r="K15" s="48" t="str">
        <x:v>Audited project accounts / ownership change</x:v>
      </x:c>
    </x:row>
  </x:sheetData>
  <x:mergeCells>
    <x:mergeCell ref="A1:K1"/>
    <x:mergeCell ref="A2:K2"/>
  </x:mergeCells>
  <x:pageMargins left="0.7" right="0.7" top="0.75" bottom="0.75" header="0.3" footer="0.3"/>
</x:worksheet>
</file>

<file path=xl/worksheets/sheet9.xml><?xml version="1.0" encoding="utf-8"?>
<x:worksheet xmlns:x="http://schemas.openxmlformats.org/spreadsheetml/2006/main">
  <x:sheetFormatPr defaultRowHeight="15"/>
  <x:cols>
    <x:col min="1" max="1" width="26" hidden="0" customWidth="1"/>
    <x:col min="2" max="2" width="27" hidden="0" customWidth="1"/>
    <x:col min="3" max="3" width="31" hidden="0" customWidth="1"/>
    <x:col min="4" max="4" width="38" hidden="0" customWidth="1"/>
    <x:col min="5" max="5" width="31" hidden="0" customWidth="1"/>
    <x:col min="6" max="6" width="13" hidden="0" customWidth="1"/>
    <x:col min="7" max="7" width="13" hidden="0" customWidth="1"/>
    <x:col min="8" max="8" width="15" hidden="0" customWidth="1"/>
    <x:col min="9" max="9" width="15" hidden="0" customWidth="1"/>
    <x:col min="10" max="10" width="17" hidden="0" customWidth="1"/>
    <x:col min="11" max="11" width="14" hidden="0" customWidth="1"/>
    <x:col min="12" max="12" width="17" hidden="0" customWidth="1"/>
    <x:col min="13" max="13" width="16" hidden="0" customWidth="1"/>
    <x:col min="14" max="14" width="19" hidden="0" customWidth="1"/>
    <x:col min="15" max="15" width="20" hidden="0" customWidth="1"/>
    <x:col min="16" max="16" width="46" hidden="0" customWidth="1"/>
    <x:col min="17" max="17" width="15" hidden="0" customWidth="1"/>
  </x:cols>
  <x:sheetData>
    <x:row r="1" ht="28" customHeight="1">
      <x:c r="A1" s="5" t="str">
        <x:v>Private and Hybrid Toll Concessions</x:v>
      </x:c>
      <x:c r="B1" s="5"/>
      <x:c r="C1" s="5"/>
      <x:c r="D1" s="5"/>
      <x:c r="E1" s="5"/>
      <x:c r="F1" s="5"/>
      <x:c r="G1" s="5"/>
      <x:c r="H1" s="5"/>
      <x:c r="I1" s="5"/>
      <x:c r="J1" s="5"/>
      <x:c r="K1" s="5"/>
      <x:c r="L1" s="5"/>
      <x:c r="M1" s="5"/>
      <x:c r="N1" s="5"/>
      <x:c r="O1" s="5"/>
      <x:c r="P1" s="5"/>
      <x:c r="Q1" s="5"/>
    </x:row>
    <x:row r="2" ht="34" customHeight="1">
      <x:c r="A2" s="13" t="str">
        <x:v>Public title, private operating rights, toll revenue, project debt and shareholder distributions are separate fields. FY2025 sponsor disclosures are not a substitute for audited project cash-flow statements.</x:v>
      </x:c>
      <x:c r="B2" s="13"/>
      <x:c r="C2" s="13"/>
      <x:c r="D2" s="13"/>
      <x:c r="E2" s="13"/>
      <x:c r="F2" s="13"/>
      <x:c r="G2" s="13"/>
      <x:c r="H2" s="13"/>
      <x:c r="I2" s="13"/>
      <x:c r="J2" s="13"/>
      <x:c r="K2" s="13"/>
      <x:c r="L2" s="13"/>
      <x:c r="M2" s="13"/>
      <x:c r="N2" s="13"/>
      <x:c r="O2" s="13"/>
      <x:c r="P2" s="13"/>
      <x:c r="Q2" s="13"/>
    </x:row>
    <x:row r="4" ht="30" customHeight="1">
      <x:c r="A4" s="29" t="str">
        <x:v>Facility</x:v>
      </x:c>
      <x:c r="B4" s="30" t="str">
        <x:v>Public title owner</x:v>
      </x:c>
      <x:c r="C4" s="30" t="str">
        <x:v>Concession / project company</x:v>
      </x:c>
      <x:c r="D4" s="30" t="str">
        <x:v>Current disclosed sponsors</x:v>
      </x:c>
      <x:c r="E4" s="30" t="str">
        <x:v>Status as of 2026-09-02</x:v>
      </x:c>
      <x:c r="F4" s="30" t="str">
        <x:v>Opened / term start</x:v>
      </x:c>
      <x:c r="G4" s="30" t="str">
        <x:v>Contract end</x:v>
      </x:c>
      <x:c r="H4" s="30" t="str">
        <x:v>FY2025 revenue ($mm)</x:v>
      </x:c>
      <x:c r="I4" s="30" t="str">
        <x:v>FY2025 EBITDA ($mm)</x:v>
      </x:c>
      <x:c r="J4" s="30" t="str">
        <x:v>FY2025 dividends ($mm)</x:v>
      </x:c>
      <x:c r="K4" s="30" t="str">
        <x:v>Debt ($mm)</x:v>
      </x:c>
      <x:c r="L4" s="30" t="str">
        <x:v>Public sharing ($mm)</x:v>
      </x:c>
      <x:c r="M4" s="30" t="str">
        <x:v>Coverage lockup</x:v>
      </x:c>
      <x:c r="N4" s="30" t="str">
        <x:v>Original project cost ($mm)</x:v>
      </x:c>
      <x:c r="O4" s="30" t="str">
        <x:v>Termination payment ($mm)</x:v>
      </x:c>
      <x:c r="P4" s="30" t="str">
        <x:v>Reversion / toll-right note</x:v>
      </x:c>
      <x:c r="Q4" s="31" t="str">
        <x:v>Sources</x:v>
      </x:c>
    </x:row>
    <x:row r="5">
      <x:c r="A5" s="68" t="str">
        <x:v>North Tarrant Express</x:v>
      </x:c>
      <x:c r="B5" s="48" t="str">
        <x:v>State of Texas / TxDOT</x:v>
      </x:c>
      <x:c r="C5" s="48" t="str">
        <x:v>NTE Mobility Partners LLC</x:v>
      </x:c>
      <x:c r="D5" s="48" t="str">
        <x:v>Ferrovial 62.97%; Meridiam 37.03%</x:v>
      </x:c>
      <x:c r="E5" s="48" t="str">
        <x:v>Active revenue-risk concession</x:v>
      </x:c>
      <x:c r="F5" s="48" t="n">
        <x:v>2014</x:v>
      </x:c>
      <x:c r="G5" s="48" t="n">
        <x:v>2061</x:v>
      </x:c>
      <x:c r="H5" s="74" t="n">
        <x:v>323</x:v>
      </x:c>
      <x:c r="I5" s="74" t="n">
        <x:v>278</x:v>
      </x:c>
      <x:c r="J5" s="74" t="n">
        <x:v>216</x:v>
      </x:c>
      <x:c r="K5" s="74" t="n">
        <x:v>1600</x:v>
      </x:c>
      <x:c r="L5" s="74" t="n">
        <x:v>8.1</x:v>
      </x:c>
      <x:c r="M5" s="74" t="str">
        <x:v>1.20x</x:v>
      </x:c>
      <x:c r="N5" s="74" t="n">
        <x:v>2122</x:v>
      </x:c>
      <x:c r="O5" s="74"/>
      <x:c r="P5" s="48" t="str">
        <x:v>Public title; concessionaire retains contractual toll rights until term/end event; assets revert under agreement</x:v>
      </x:c>
      <x:c r="Q5" s="48" t="str">
        <x:v>S17–S18</x:v>
      </x:c>
    </x:row>
    <x:row r="6">
      <x:c r="A6" s="78" t="str">
        <x:v>LBJ Express</x:v>
      </x:c>
      <x:c r="B6" s="56" t="str">
        <x:v>State of Texas / TxDOT</x:v>
      </x:c>
      <x:c r="C6" s="56" t="str">
        <x:v>LBJ Infrastructure Group LLC</x:v>
      </x:c>
      <x:c r="D6" s="56" t="str">
        <x:v>Ferrovial 54.60%; APG 28.33%; Meridiam 17.07%</x:v>
      </x:c>
      <x:c r="E6" s="56" t="str">
        <x:v>Active revenue-risk concession</x:v>
      </x:c>
      <x:c r="F6" s="56" t="n">
        <x:v>2015</x:v>
      </x:c>
      <x:c r="G6" s="56" t="n">
        <x:v>2061</x:v>
      </x:c>
      <x:c r="H6" s="79" t="n">
        <x:v>244</x:v>
      </x:c>
      <x:c r="I6" s="79" t="n">
        <x:v>202</x:v>
      </x:c>
      <x:c r="J6" s="79" t="n">
        <x:v>123</x:v>
      </x:c>
      <x:c r="K6" s="79"/>
      <x:c r="L6" s="79" t="n">
        <x:v>5.6</x:v>
      </x:c>
      <x:c r="M6" s="79"/>
      <x:c r="N6" s="79" t="n">
        <x:v>2645</x:v>
      </x:c>
      <x:c r="O6" s="79"/>
      <x:c r="P6" s="56" t="str">
        <x:v>Public title; concession rights expire/revert under CDA</x:v>
      </x:c>
      <x:c r="Q6" s="56" t="str">
        <x:v>S17, S19</x:v>
      </x:c>
    </x:row>
    <x:row r="7">
      <x:c r="A7" s="68" t="str">
        <x:v>NTE 35W</x:v>
      </x:c>
      <x:c r="B7" s="48" t="str">
        <x:v>State of Texas / TxDOT</x:v>
      </x:c>
      <x:c r="C7" s="48" t="str">
        <x:v>NTE Mobility Partners Segments 3 LLC</x:v>
      </x:c>
      <x:c r="D7" s="48" t="str">
        <x:v>Ferrovial 53.67%; APG 28.84%; Meridiam 17.49%</x:v>
      </x:c>
      <x:c r="E7" s="48" t="str">
        <x:v>Active concession; 3A private finance, 3B public delivery/O&amp;M structure</x:v>
      </x:c>
      <x:c r="F7" s="48" t="n">
        <x:v>2018</x:v>
      </x:c>
      <x:c r="G7" s="48" t="n">
        <x:v>2061</x:v>
      </x:c>
      <x:c r="H7" s="74" t="n">
        <x:v>368</x:v>
      </x:c>
      <x:c r="I7" s="74" t="n">
        <x:v>294</x:v>
      </x:c>
      <x:c r="J7" s="74" t="n">
        <x:v>215</x:v>
      </x:c>
      <x:c r="K7" s="74" t="n">
        <x:v>1598</x:v>
      </x:c>
      <x:c r="L7" s="74" t="n">
        <x:v>33</x:v>
      </x:c>
      <x:c r="M7" s="74" t="str">
        <x:v>1.30x</x:v>
      </x:c>
      <x:c r="N7" s="74"/>
      <x:c r="O7" s="74"/>
      <x:c r="P7" s="48" t="str">
        <x:v>Revenue sharing includes $26.4m recurring share and $6.6m refinancing gain reported for 2025</x:v>
      </x:c>
      <x:c r="Q7" s="48" t="str">
        <x:v>S17, S20</x:v>
      </x:c>
    </x:row>
    <x:row r="8">
      <x:c r="A8" s="78" t="str">
        <x:v>SH 130 Segments 5–6</x:v>
      </x:c>
      <x:c r="B8" s="56" t="str">
        <x:v>State of Texas / TxDOT</x:v>
      </x:c>
      <x:c r="C8" s="56" t="str">
        <x:v>SH 130 Concession Company, LLC</x:v>
      </x:c>
      <x:c r="D8" s="56" t="str">
        <x:v>Ultimate equity chain not fully resolved in accessible primary records</x:v>
      </x:c>
      <x:c r="E8" s="56" t="str">
        <x:v>Active 50-year concession after 2016–2017 restructuring</x:v>
      </x:c>
      <x:c r="F8" s="56" t="n">
        <x:v>2012</x:v>
      </x:c>
      <x:c r="G8" s="56" t="n">
        <x:v>2062</x:v>
      </x:c>
      <x:c r="H8" s="79"/>
      <x:c r="I8" s="79"/>
      <x:c r="J8" s="79"/>
      <x:c r="K8" s="79"/>
      <x:c r="L8" s="79"/>
      <x:c r="M8" s="79"/>
      <x:c r="N8" s="79" t="n">
        <x:v>1328</x:v>
      </x:c>
      <x:c r="O8" s="79"/>
      <x:c r="P8" s="56" t="str">
        <x:v>State receives contractual revenue share; responsible concession entity verified, ultimate equity marked unresolved</x:v>
      </x:c>
      <x:c r="Q8" s="56" t="str">
        <x:v>S21–S24</x:v>
      </x:c>
    </x:row>
    <x:row r="9">
      <x:c r="A9" s="68" t="str">
        <x:v>SH 288 Toll Lanes</x:v>
      </x:c>
      <x:c r="B9" s="48" t="str">
        <x:v>State of Texas / TxDOT</x:v>
      </x:c>
      <x:c r="C9" s="48" t="str">
        <x:v>Former Blueridge Transportation Group CDA; TTFC after termination</x:v>
      </x:c>
      <x:c r="D9" s="48" t="str">
        <x:v>Former private CDA terminated</x:v>
      </x:c>
      <x:c r="E9" s="48" t="str">
        <x:v>Public control after 2024-10-08 termination</x:v>
      </x:c>
      <x:c r="F9" s="48" t="n">
        <x:v>2019</x:v>
      </x:c>
      <x:c r="G9" s="48" t="n">
        <x:v>2024</x:v>
      </x:c>
      <x:c r="H9" s="74"/>
      <x:c r="I9" s="74"/>
      <x:c r="J9" s="74"/>
      <x:c r="K9" s="74"/>
      <x:c r="L9" s="74"/>
      <x:c r="M9" s="74"/>
      <x:c r="N9" s="74" t="n">
        <x:v>1063.5</x:v>
      </x:c>
      <x:c r="O9" s="74" t="n">
        <x:v>1731.730721</x:v>
      </x:c>
      <x:c r="P9" s="48" t="str">
        <x:v>Termination payment bought out contractual rights; TxDOT/TTFC continued tolling publicly</x:v>
      </x:c>
      <x:c r="Q9" s="48" t="str">
        <x:v>S13–S16</x:v>
      </x:c>
    </x:row>
    <x:row r="10">
      <x:c r="A10" s="48"/>
      <x:c r="B10" s="48"/>
      <x:c r="C10" s="48"/>
      <x:c r="D10" s="48"/>
      <x:c r="E10" s="48"/>
      <x:c r="F10" s="48"/>
      <x:c r="G10" s="48"/>
      <x:c r="H10" s="70"/>
      <x:c r="I10" s="70"/>
      <x:c r="J10" s="70"/>
      <x:c r="K10" s="70"/>
      <x:c r="L10" s="70"/>
      <x:c r="M10" s="70"/>
      <x:c r="N10" s="70"/>
      <x:c r="O10" s="70"/>
      <x:c r="P10" s="48"/>
      <x:c r="Q10" s="48"/>
    </x:row>
    <x:row r="11">
      <x:c r="A11" s="113" t="str">
        <x:v>Sum of displayed project figures</x:v>
      </x:c>
      <x:c r="B11" s="113" t="str"/>
      <x:c r="C11" s="113" t="str"/>
      <x:c r="D11" s="113" t="str"/>
      <x:c r="E11" s="113" t="str"/>
      <x:c r="F11" s="113" t="str"/>
      <x:c r="G11" s="113" t="str"/>
      <x:c r="H11" s="114" t="n">
        <x:f>SUM(H5:H7)</x:f>
        <x:v>935</x:v>
      </x:c>
      <x:c r="I11" s="114" t="n">
        <x:f>SUM(I5:I7)</x:f>
        <x:v>774</x:v>
      </x:c>
      <x:c r="J11" s="114" t="n">
        <x:f>SUM(J5:J7)</x:f>
        <x:v>554</x:v>
      </x:c>
      <x:c r="K11" s="114"/>
      <x:c r="L11" s="114"/>
      <x:c r="M11" s="114"/>
      <x:c r="N11" s="114"/>
      <x:c r="O11" s="114"/>
      <x:c r="P11" s="113"/>
      <x:c r="Q11" s="113"/>
    </x:row>
    <x:row r="12">
      <x:c r="A12" s="113" t="str">
        <x:v>Ferrovial reported DFW total</x:v>
      </x:c>
      <x:c r="B12" s="113" t="str"/>
      <x:c r="C12" s="494" t="str"/>
      <x:c r="D12" s="113" t="str"/>
      <x:c r="E12" s="113" t="str"/>
      <x:c r="F12" s="113" t="str"/>
      <x:c r="G12" s="113" t="str"/>
      <x:c r="H12" s="226" t="n">
        <x:v>935</x:v>
      </x:c>
      <x:c r="I12" s="226" t="n">
        <x:v>776</x:v>
      </x:c>
      <x:c r="J12" s="226" t="n">
        <x:v>553</x:v>
      </x:c>
      <x:c r="K12" s="113"/>
      <x:c r="L12" s="113"/>
      <x:c r="M12" s="113"/>
      <x:c r="N12" s="113"/>
      <x:c r="O12" s="113"/>
      <x:c r="P12" s="113"/>
      <x:c r="Q12" s="113"/>
    </x:row>
    <x:row r="13">
      <x:c r="A13" s="123" t="str">
        <x:v>Displayed-sum less reported total</x:v>
      </x:c>
      <x:c r="B13" s="123" t="str"/>
      <x:c r="C13" s="123" t="str"/>
      <x:c r="D13" s="123" t="str"/>
      <x:c r="E13" s="123" t="str"/>
      <x:c r="F13" s="123" t="str"/>
      <x:c r="G13" s="123" t="str"/>
      <x:c r="H13" s="124" t="n">
        <x:f>H11-H12</x:f>
        <x:v>0</x:v>
      </x:c>
      <x:c r="I13" s="124" t="n">
        <x:f>I11-I12</x:f>
        <x:v>-2</x:v>
      </x:c>
      <x:c r="J13" s="124" t="n">
        <x:f>J11-J12</x:f>
        <x:v>1</x:v>
      </x:c>
      <x:c r="K13" s="123"/>
      <x:c r="L13" s="499"/>
      <x:c r="M13" s="499"/>
      <x:c r="N13" s="499"/>
      <x:c r="O13" s="499"/>
      <x:c r="P13" s="499"/>
      <x:c r="Q13" s="499"/>
    </x:row>
    <x:row r="14">
      <x:c r="A14" s="48"/>
      <x:c r="B14" s="48"/>
      <x:c r="C14" s="48"/>
      <x:c r="D14" s="48"/>
      <x:c r="E14" s="48"/>
      <x:c r="F14" s="48"/>
      <x:c r="G14" s="48"/>
      <x:c r="H14" s="48"/>
      <x:c r="I14" s="48"/>
      <x:c r="J14" s="48"/>
      <x:c r="K14" s="48"/>
    </x:row>
    <x:row r="15">
      <x:c r="A15" s="48" t="str">
        <x:v>Reported dividends / revenue</x:v>
      </x:c>
      <x:c r="B15" s="48" t="str">
        <x:v>Formula</x:v>
      </x:c>
      <x:c r="C15" s="198" t="n">
        <x:f>J12/H12</x:f>
        <x:v>0.5914438502673797</x:v>
      </x:c>
      <x:c r="D15" s="48"/>
      <x:c r="E15" s="48"/>
      <x:c r="F15" s="48"/>
      <x:c r="G15" s="48"/>
      <x:c r="H15" s="48"/>
      <x:c r="I15" s="48"/>
      <x:c r="J15" s="48"/>
      <x:c r="K15" s="48"/>
    </x:row>
  </x:sheetData>
  <x:mergeCells>
    <x:mergeCell ref="A1:Q1"/>
    <x:mergeCell ref="A2:Q2"/>
  </x:mergeCells>
  <x:pageMargins left="0.7" right="0.7" top="0.75" bottom="0.75" header="0.3" footer="0.3"/>
  <x:legacyDrawing xmlns:r="http://schemas.openxmlformats.org/officeDocument/2006/relationships" r:id="R673feda76fcc4fdb"/>
</x:worksheet>
</file>

<file path=xl/worksheets/sheet10.xml><?xml version="1.0" encoding="utf-8"?>
<x:worksheet xmlns:x="http://schemas.openxmlformats.org/spreadsheetml/2006/main">
  <x:sheetFormatPr defaultRowHeight="15"/>
  <x:cols>
    <x:col min="1" max="1" width="25" hidden="0" customWidth="1"/>
    <x:col min="2" max="2" width="36" hidden="0" customWidth="1"/>
    <x:col min="3" max="3" width="38" hidden="0" customWidth="1"/>
    <x:col min="4" max="4" width="31" hidden="0" customWidth="1"/>
    <x:col min="5" max="5" width="33" hidden="0" customWidth="1"/>
    <x:col min="6" max="6" width="30" hidden="0" customWidth="1"/>
    <x:col min="7" max="7" width="43" hidden="0" customWidth="1"/>
    <x:col min="8" max="8" width="38" hidden="0" customWidth="1"/>
    <x:col min="9" max="9" width="43" hidden="0" customWidth="1"/>
    <x:col min="10" max="10" width="46" hidden="0" customWidth="1"/>
    <x:col min="11" max="11" width="34" hidden="0" customWidth="1"/>
    <x:col min="12" max="12" width="18" hidden="0" customWidth="1"/>
  </x:cols>
  <x:sheetData>
    <x:row r="1" ht="28" customHeight="1">
      <x:c r="A1" s="5" t="str">
        <x:v>Legal Tolling Authority, Pledges and Removal Tests</x:v>
      </x:c>
      <x:c r="B1" s="5"/>
      <x:c r="C1" s="5"/>
      <x:c r="D1" s="5"/>
      <x:c r="E1" s="5"/>
      <x:c r="F1" s="5"/>
      <x:c r="G1" s="5"/>
      <x:c r="H1" s="5"/>
      <x:c r="I1" s="5"/>
      <x:c r="J1" s="5"/>
      <x:c r="K1" s="5"/>
      <x:c r="L1" s="5"/>
    </x:row>
    <x:row r="2" ht="34" customHeight="1">
      <x:c r="A2" s="13" t="str">
        <x:v>A campaign statement or agency explanation is not a legal sunset. Each row separates statutory toll power, bond covenants, system pooling, surplus authority and concession rights.</x:v>
      </x:c>
      <x:c r="B2" s="13"/>
      <x:c r="C2" s="13"/>
      <x:c r="D2" s="13"/>
      <x:c r="E2" s="13"/>
      <x:c r="F2" s="13"/>
      <x:c r="G2" s="13"/>
      <x:c r="H2" s="13"/>
      <x:c r="I2" s="13"/>
      <x:c r="J2" s="13"/>
      <x:c r="K2" s="13"/>
      <x:c r="L2" s="13"/>
    </x:row>
    <x:row r="4" ht="30" customHeight="1">
      <x:c r="A4" s="29" t="str">
        <x:v>System / case</x:v>
      </x:c>
      <x:c r="B4" s="30" t="str">
        <x:v>Entity with legal tolling authority</x:v>
      </x:c>
      <x:c r="C4" s="30" t="str">
        <x:v>Road-by-road or system pledge</x:v>
      </x:c>
      <x:c r="D4" s="30" t="str">
        <x:v>Can one road support another?</x:v>
      </x:c>
      <x:c r="E4" s="30" t="str">
        <x:v>Coverage / rate covenant</x:v>
      </x:c>
      <x:c r="F4" s="30" t="str">
        <x:v>Reserve requirement</x:v>
      </x:c>
      <x:c r="G4" s="30" t="str">
        <x:v>Surplus / transfer authority</x:v>
      </x:c>
      <x:c r="H4" s="30" t="str">
        <x:v>Decision-maker for toll change or removal</x:v>
      </x:c>
      <x:c r="I4" s="30" t="str">
        <x:v>Legally enforceable toll-removal promise?</x:v>
      </x:c>
      <x:c r="J4" s="30" t="str">
        <x:v>Five-question conclusion</x:v>
      </x:c>
      <x:c r="K4" s="30" t="str">
        <x:v>Primary law / contract</x:v>
      </x:c>
      <x:c r="L4" s="31" t="str">
        <x:v>Source IDs</x:v>
      </x:c>
    </x:row>
    <x:row r="5">
      <x:c r="A5" s="68" t="str">
        <x:v>NTTA</x:v>
      </x:c>
      <x:c r="B5" s="48" t="str">
        <x:v>North Texas Tollway Authority under Chapter 366</x:v>
      </x:c>
      <x:c r="C5" s="48" t="str">
        <x:v>Pooled NTTA System Trust</x:v>
      </x:c>
      <x:c r="D5" s="48" t="str">
        <x:v>Yes, within the pledged system and Trust waterfall</x:v>
      </x:c>
      <x:c r="E5" s="48" t="str">
        <x:v>At least 1.35x first tier; 1.20x first + second tier; 1.00x broader obligations as defined</x:v>
      </x:c>
      <x:c r="F5" s="48" t="str">
        <x:v>Trust accounts and debt-service / reserve mechanics</x:v>
      </x:c>
      <x:c r="G5" s="48" t="str">
        <x:v>Controlled surplus use under Chapter 366 and Trust; not unrestricted owner profit</x:v>
      </x:c>
      <x:c r="H5" s="48" t="str">
        <x:v>NTTA Board, subject to Trust, statute and bondholder protections</x:v>
      </x:c>
      <x:c r="I5" s="48" t="str">
        <x:v>No fixed promise found tying removal to original construction cost</x:v>
      </x:c>
      <x:c r="J5" s="48" t="str">
        <x:v>Project cost and individual-road debt do not answer system-debt or toll-authority questions</x:v>
      </x:c>
      <x:c r="K5" s="48" t="str">
        <x:v>Transportation Code Ch. 366; NTTA Trust Agreement</x:v>
      </x:c>
      <x:c r="L5" s="48" t="str">
        <x:v>S01–S04, S28</x:v>
      </x:c>
    </x:row>
    <x:row r="6">
      <x:c r="A6" s="78" t="str">
        <x:v>HCTRA</x:v>
      </x:c>
      <x:c r="B6" s="56" t="str">
        <x:v>Harris County under Chapter 284</x:v>
      </x:c>
      <x:c r="C6" s="56" t="str">
        <x:v>System-level first-lien toll revenue for senior bonds; tax bonds also have ad valorem and subordinate toll support</x:v>
      </x:c>
      <x:c r="D6" s="56" t="str">
        <x:v>Yes, to the extent revenues and covenants are system-wide</x:v>
      </x:c>
      <x:c r="E6" s="56" t="str">
        <x:v>1.25x covenant reported; ACFR narrative reports 5.10x FY2025 under its definition</x:v>
      </x:c>
      <x:c r="F6" s="56" t="str">
        <x:v>Debt-service and other restricted balances</x:v>
      </x:c>
      <x:c r="G6" s="56" t="str">
        <x:v>§284.0031 permits qualifying surplus for other roads/highways, subject to bond documents</x:v>
      </x:c>
      <x:c r="H6" s="56" t="str">
        <x:v>Harris County Commissioners Court / authorized county toll governance</x:v>
      </x:c>
      <x:c r="I6" s="56" t="str">
        <x:v>Conditional: §284.008 contains a default payoff/handoff without tolls, but subsection (d) permits an order preventing that result</x:v>
      </x:c>
      <x:c r="J6" s="56" t="str">
        <x:v>Must test the exact project, its bonds and any §284.008(d) order; no blanket answer</x:v>
      </x:c>
      <x:c r="K6" s="56" t="str">
        <x:v>Transportation Code §§284.0031, 284.008; project-specific commission orders</x:v>
      </x:c>
      <x:c r="L6" s="56" t="str">
        <x:v>S05–S07</x:v>
      </x:c>
    </x:row>
    <x:row r="7">
      <x:c r="A7" s="68" t="str">
        <x:v>CTRMA</x:v>
      </x:c>
      <x:c r="B7" s="48" t="str">
        <x:v>Central Texas Regional Mobility Authority under Chapter 370</x:v>
      </x:c>
      <x:c r="C7" s="48" t="str">
        <x:v>System revenue bonds plus project-specific and subordinate obligations</x:v>
      </x:c>
      <x:c r="D7" s="48" t="str">
        <x:v>Generally yes within pledged system; specific loans may be project-linked</x:v>
      </x:c>
      <x:c r="E7" s="48" t="str">
        <x:v>Bond documents govern rate and coverage tests; audited FY2025 system coverage 2.28x</x:v>
      </x:c>
      <x:c r="F7" s="48" t="str">
        <x:v>Debt-service, maintenance and other required funds</x:v>
      </x:c>
      <x:c r="G7" s="48" t="str">
        <x:v>After required payments, §370.174 permits toll reduction, other transportation projects, or reserves</x:v>
      </x:c>
      <x:c r="H7" s="48" t="str">
        <x:v>CTRMA Board, constrained by financing documents and Chapter 370</x:v>
      </x:c>
      <x:c r="I7" s="48" t="str">
        <x:v>No automatic construction-cost sunset in the reviewed statute</x:v>
      </x:c>
      <x:c r="J7" s="48" t="str">
        <x:v>A paid-off asset can remain in a debt-bearing system or fund another allowed transportation use</x:v>
      </x:c>
      <x:c r="K7" s="48" t="str">
        <x:v>Transportation Code §370.174 and bond documents</x:v>
      </x:c>
      <x:c r="L7" s="48" t="str">
        <x:v>S08–S10, S27</x:v>
      </x:c>
    </x:row>
    <x:row r="8">
      <x:c r="A8" s="78" t="str">
        <x:v>CTTS</x:v>
      </x:c>
      <x:c r="B8" s="56" t="str">
        <x:v>Texas Transportation Commission / TxDOT</x:v>
      </x:c>
      <x:c r="C8" s="56" t="str">
        <x:v>CTTS system revenue pledge</x:v>
      </x:c>
      <x:c r="D8" s="56" t="str">
        <x:v>Yes within CTTS</x:v>
      </x:c>
      <x:c r="E8" s="56" t="str">
        <x:v>Bond and rate covenants govern; HB803 shows recurring debt service</x:v>
      </x:c>
      <x:c r="F8" s="56" t="str">
        <x:v>Bond-required project reserve accounts</x:v>
      </x:c>
      <x:c r="G8" s="56" t="str">
        <x:v>§228.006 allows commission-authorized use of surplus, but the FY2025 report says excess was placed in required reserves</x:v>
      </x:c>
      <x:c r="H8" s="56" t="str">
        <x:v>Texas Transportation Commission / TxDOT</x:v>
      </x:c>
      <x:c r="I8" s="56" t="str">
        <x:v>No automatic construction-cost sunset identified</x:v>
      </x:c>
      <x:c r="J8" s="56" t="str">
        <x:v>FY2025 excess was reserve funding, not reportable surplus; final maturity 2042 is not a toll-removal promise</x:v>
      </x:c>
      <x:c r="K8" s="56" t="str">
        <x:v>Transportation Code §228.006; CTTS bond documents</x:v>
      </x:c>
      <x:c r="L8" s="56" t="str">
        <x:v>S11–S12, S29</x:v>
      </x:c>
    </x:row>
    <x:row r="9">
      <x:c r="A9" s="68" t="str">
        <x:v>Grand Parkway System</x:v>
      </x:c>
      <x:c r="B9" s="48" t="str">
        <x:v>Texas Transportation Commission / GPTC</x:v>
      </x:c>
      <x:c r="C9" s="48" t="str">
        <x:v>Grand Parkway system pledge</x:v>
      </x:c>
      <x:c r="D9" s="48" t="str">
        <x:v>Yes within Grand Parkway System</x:v>
      </x:c>
      <x:c r="E9" s="48" t="str">
        <x:v>Bond and rate covenants govern</x:v>
      </x:c>
      <x:c r="F9" s="48" t="str">
        <x:v>Bond-required project reserve accounts</x:v>
      </x:c>
      <x:c r="G9" s="48" t="str">
        <x:v>Commission/statutory authority subject to bond documents</x:v>
      </x:c>
      <x:c r="H9" s="48" t="str">
        <x:v>Texas Transportation Commission / GPTC</x:v>
      </x:c>
      <x:c r="I9" s="48" t="str">
        <x:v>No automatic construction-cost sunset identified</x:v>
      </x:c>
      <x:c r="J9" s="48" t="str">
        <x:v>Large reserve residual and future capital plan coexist with debt through 2053</x:v>
      </x:c>
      <x:c r="K9" s="48" t="str">
        <x:v>Transportation Code §228.006; Grand Parkway bond documents</x:v>
      </x:c>
      <x:c r="L9" s="48" t="str">
        <x:v>S11–S12, S29</x:v>
      </x:c>
    </x:row>
    <x:row r="10">
      <x:c r="A10" s="78" t="str">
        <x:v>FBCTRA / FBGPTRA</x:v>
      </x:c>
      <x:c r="B10" s="56" t="str">
        <x:v>Fort Bend County authorities under Chapter 284 and local-government-corporation documents</x:v>
      </x:c>
      <x:c r="C10" s="56" t="str">
        <x:v>Separate authority pledges; do not combine the two corporations</x:v>
      </x:c>
      <x:c r="D10" s="56" t="str">
        <x:v>Within each authority as documents allow; not across the two without authority</x:v>
      </x:c>
      <x:c r="E10" s="56" t="str">
        <x:v>Bond documents govern</x:v>
      </x:c>
      <x:c r="F10" s="56" t="str">
        <x:v>Authority-specific debt-service reserves</x:v>
      </x:c>
      <x:c r="G10" s="56" t="str">
        <x:v>Chapter 284 surplus authority, subject to bonds and project-specific orders</x:v>
      </x:c>
      <x:c r="H10" s="56" t="str">
        <x:v>Authority boards with Commissioners Court oversight</x:v>
      </x:c>
      <x:c r="I10" s="56" t="str">
        <x:v>Chapter 284 conditional rule requires project-by-project review</x:v>
      </x:c>
      <x:c r="J10" s="56" t="str">
        <x:v>Separate debt and legal records for FBCTRA and FBGPTRA</x:v>
      </x:c>
      <x:c r="K10" s="56" t="str">
        <x:v>Transportation Code Ch. 284; authority bond documents</x:v>
      </x:c>
      <x:c r="L10" s="56" t="str">
        <x:v>S25–S26, S06</x:v>
      </x:c>
    </x:row>
    <x:row r="11">
      <x:c r="A11" s="68" t="str">
        <x:v>Active private concessions</x:v>
      </x:c>
      <x:c r="B11" s="48" t="str">
        <x:v>TxDOT retains public title; concession company exercises contractual toll/operating rights</x:v>
      </x:c>
      <x:c r="C11" s="48" t="str">
        <x:v>Project-company financing and contractual revenue waterfall</x:v>
      </x:c>
      <x:c r="D11" s="48" t="str">
        <x:v>No, except within the specific concession/financing structure</x:v>
      </x:c>
      <x:c r="E11" s="48" t="str">
        <x:v>Coverage lockups and lender controls govern distributions</x:v>
      </x:c>
      <x:c r="F11" s="48" t="str">
        <x:v>Project reserve and lender-controlled accounts</x:v>
      </x:c>
      <x:c r="G11" s="48" t="str">
        <x:v>Revenue sharing and distributions follow CDA and finance documents</x:v>
      </x:c>
      <x:c r="H11" s="48" t="str">
        <x:v>Contract-defined public/private decision process; early end requires default, termination or buyout</x:v>
      </x:c>
      <x:c r="I11" s="48" t="str">
        <x:v>Yes: stated concession end/reversion terms, unless ended earlier</x:v>
      </x:c>
      <x:c r="J11" s="48" t="str">
        <x:v>Contract rights can outlast repayment of an original loan; SH 288 shows those rights have buyout value</x:v>
      </x:c>
      <x:c r="K11" s="48" t="str">
        <x:v>Facility concession agreements / CDAs</x:v>
      </x:c>
      <x:c r="L11" s="48" t="str">
        <x:v>S13–S24</x:v>
      </x:c>
    </x:row>
  </x:sheetData>
  <x:mergeCells>
    <x:mergeCell ref="A1:L1"/>
    <x:mergeCell ref="A2:L2"/>
  </x:mergeCells>
  <x:pageMargins left="0.7" right="0.7" top="0.75" bottom="0.75" header="0.3" footer="0.3"/>
</x:worksheet>
</file>

<file path=xl/worksheets/sheet11.xml><?xml version="1.0" encoding="utf-8"?>
<x:worksheet xmlns:x="http://schemas.openxmlformats.org/spreadsheetml/2006/main">
  <x:sheetFormatPr defaultRowHeight="15"/>
  <x:cols>
    <x:col min="1" max="1" width="15" hidden="0" customWidth="1"/>
    <x:col min="2" max="2" width="31" hidden="0" customWidth="1"/>
    <x:col min="3" max="3" width="23" hidden="0" customWidth="1"/>
    <x:col min="4" max="4" width="24" hidden="0" customWidth="1"/>
    <x:col min="5" max="5" width="36" hidden="0" customWidth="1"/>
    <x:col min="6" max="6" width="30" hidden="0" customWidth="1"/>
    <x:col min="7" max="7" width="29" hidden="0" customWidth="1"/>
    <x:col min="8" max="8" width="27" hidden="0" customWidth="1"/>
    <x:col min="9" max="9" width="15" hidden="0" customWidth="1"/>
    <x:col min="10" max="10" width="25" hidden="0" customWidth="1"/>
    <x:col min="11" max="11" width="25" hidden="0" customWidth="1"/>
    <x:col min="12" max="12" width="45" hidden="0" customWidth="1"/>
    <x:col min="13" max="13" width="18" hidden="0" customWidth="1"/>
    <x:col min="14" max="14" width="42" hidden="0" customWidth="1"/>
  </x:cols>
  <x:sheetData>
    <x:row r="1" ht="28" customHeight="1">
      <x:c r="A1" s="5" t="str">
        <x:v>Map-Ready System and Concession Data</x:v>
      </x:c>
      <x:c r="B1" s="5"/>
      <x:c r="C1" s="5"/>
      <x:c r="D1" s="5"/>
      <x:c r="E1" s="5"/>
      <x:c r="F1" s="5"/>
      <x:c r="G1" s="5"/>
      <x:c r="H1" s="5"/>
      <x:c r="I1" s="5"/>
      <x:c r="J1" s="5"/>
      <x:c r="K1" s="5"/>
      <x:c r="L1" s="5"/>
      <x:c r="M1" s="5"/>
      <x:c r="N1" s="5"/>
    </x:row>
    <x:row r="2" ht="34" customHeight="1">
      <x:c r="A2" s="13" t="str">
        <x:v>Join keys and official geometry/map sources are provided instead of invented point coordinates. Use official road centerlines or agency GIS for publication geometry.</x:v>
      </x:c>
      <x:c r="B2" s="13"/>
      <x:c r="C2" s="13"/>
      <x:c r="D2" s="13"/>
      <x:c r="E2" s="13"/>
      <x:c r="F2" s="13"/>
      <x:c r="G2" s="13"/>
      <x:c r="H2" s="13"/>
      <x:c r="I2" s="13"/>
      <x:c r="J2" s="13"/>
      <x:c r="K2" s="13"/>
      <x:c r="L2" s="13"/>
      <x:c r="M2" s="13"/>
      <x:c r="N2" s="13"/>
    </x:row>
    <x:row r="4" ht="30" customHeight="1">
      <x:c r="A4" s="29" t="str">
        <x:v>Map key</x:v>
      </x:c>
      <x:c r="B4" s="30" t="str">
        <x:v>System / facility</x:v>
      </x:c>
      <x:c r="C4" s="30" t="str">
        <x:v>Facility type</x:v>
      </x:c>
      <x:c r="D4" s="30" t="str">
        <x:v>Region</x:v>
      </x:c>
      <x:c r="E4" s="30" t="str">
        <x:v>Primary counties / corridor</x:v>
      </x:c>
      <x:c r="F4" s="30" t="str">
        <x:v>Public owner / authority</x:v>
      </x:c>
      <x:c r="G4" s="30" t="str">
        <x:v>Operator</x:v>
      </x:c>
      <x:c r="H4" s="30" t="str">
        <x:v>Financial reporting unit</x:v>
      </x:c>
      <x:c r="I4" s="30" t="str">
        <x:v>Concession end</x:v>
      </x:c>
      <x:c r="J4" s="30" t="str">
        <x:v>Status as of 2026-09-02</x:v>
      </x:c>
      <x:c r="K4" s="30" t="str">
        <x:v>Geometry join key</x:v>
      </x:c>
      <x:c r="L4" s="30" t="str">
        <x:v>Official map / project source</x:v>
      </x:c>
      <x:c r="M4" s="30" t="str">
        <x:v>Financial source IDs</x:v>
      </x:c>
      <x:c r="N4" s="31" t="str">
        <x:v>Mapping note</x:v>
      </x:c>
    </x:row>
    <x:row r="5">
      <x:c r="A5" s="48" t="str">
        <x:v>NTTA_SYSTEM</x:v>
      </x:c>
      <x:c r="B5" s="48" t="str">
        <x:v>NTTA System</x:v>
      </x:c>
      <x:c r="C5" s="48" t="str">
        <x:v>Public toll system</x:v>
      </x:c>
      <x:c r="D5" s="48" t="str">
        <x:v>Dallas–Fort Worth</x:v>
      </x:c>
      <x:c r="E5" s="48" t="str">
        <x:v>Dallas, Denton, Collin, Tarrant and surrounding North Texas corridors</x:v>
      </x:c>
      <x:c r="F5" s="48" t="str">
        <x:v>NTTA</x:v>
      </x:c>
      <x:c r="G5" s="48" t="str">
        <x:v>NTTA</x:v>
      </x:c>
      <x:c r="H5" s="48" t="str">
        <x:v>NTTA System</x:v>
      </x:c>
      <x:c r="I5" s="48"/>
      <x:c r="J5" s="48" t="str">
        <x:v>Active</x:v>
      </x:c>
      <x:c r="K5" s="48" t="str">
        <x:v>Agency facility name / official centerline</x:v>
      </x:c>
      <x:c r="L5" s="48" t="str">
        <x:v>https://www.ntta.org/roadsprojects</x:v>
      </x:c>
      <x:c r="M5" s="48" t="str">
        <x:v>S01–S04</x:v>
      </x:c>
      <x:c r="N5" s="48" t="str">
        <x:v>Map individual roads but attach system-level finance attributes to every NTTA-system segment</x:v>
      </x:c>
    </x:row>
    <x:row r="6">
      <x:c r="A6" s="56" t="str">
        <x:v>HCTRA_SYSTEM</x:v>
      </x:c>
      <x:c r="B6" s="56" t="str">
        <x:v>Harris County Toll Road Authority</x:v>
      </x:c>
      <x:c r="C6" s="56" t="str">
        <x:v>County toll system</x:v>
      </x:c>
      <x:c r="D6" s="56" t="str">
        <x:v>Houston / Harris County</x:v>
      </x:c>
      <x:c r="E6" s="56" t="str">
        <x:v>Harris County</x:v>
      </x:c>
      <x:c r="F6" s="56" t="str">
        <x:v>Harris County</x:v>
      </x:c>
      <x:c r="G6" s="56" t="str">
        <x:v>HCTRA</x:v>
      </x:c>
      <x:c r="H6" s="56" t="str">
        <x:v>HCTRA enterprise fund</x:v>
      </x:c>
      <x:c r="I6" s="56"/>
      <x:c r="J6" s="56" t="str">
        <x:v>Active</x:v>
      </x:c>
      <x:c r="K6" s="56" t="str">
        <x:v>HCTRA facility name</x:v>
      </x:c>
      <x:c r="L6" s="56" t="str">
        <x:v>https://www.hctra.org/</x:v>
      </x:c>
      <x:c r="M6" s="56" t="str">
        <x:v>S05–S07</x:v>
      </x:c>
      <x:c r="N6" s="56" t="str">
        <x:v>Do not map county transfer as if assigned to one road</x:v>
      </x:c>
    </x:row>
    <x:row r="7">
      <x:c r="A7" s="48" t="str">
        <x:v>CTRMA_SYSTEM</x:v>
      </x:c>
      <x:c r="B7" s="48" t="str">
        <x:v>CTRMA System</x:v>
      </x:c>
      <x:c r="C7" s="48" t="str">
        <x:v>Regional mobility authority system</x:v>
      </x:c>
      <x:c r="D7" s="48" t="str">
        <x:v>Austin / Central Texas</x:v>
      </x:c>
      <x:c r="E7" s="48" t="str">
        <x:v>Travis and Williamson County corridors</x:v>
      </x:c>
      <x:c r="F7" s="48" t="str">
        <x:v>CTRMA</x:v>
      </x:c>
      <x:c r="G7" s="48" t="str">
        <x:v>CTRMA / contractors</x:v>
      </x:c>
      <x:c r="H7" s="48" t="str">
        <x:v>CTRMA consolidated system</x:v>
      </x:c>
      <x:c r="I7" s="48"/>
      <x:c r="J7" s="48" t="str">
        <x:v>Active</x:v>
      </x:c>
      <x:c r="K7" s="48" t="str">
        <x:v>CTRMA facility name</x:v>
      </x:c>
      <x:c r="L7" s="48" t="str">
        <x:v>https://www.mobilityauthority.com/traveler-info/open-roads/</x:v>
      </x:c>
      <x:c r="M7" s="48" t="str">
        <x:v>S08–S10</x:v>
      </x:c>
      <x:c r="N7" s="48" t="str">
        <x:v>183A, 290 Toll, MoPac Express Lane, 71 Toll, 45SW, 183 Toll and newer managed lanes</x:v>
      </x:c>
    </x:row>
    <x:row r="8">
      <x:c r="A8" s="56" t="str">
        <x:v>CTTS_SYSTEM</x:v>
      </x:c>
      <x:c r="B8" s="56" t="str">
        <x:v>Central Texas Turnpike System</x:v>
      </x:c>
      <x:c r="C8" s="56" t="str">
        <x:v>TxDOT financed public system</x:v>
      </x:c>
      <x:c r="D8" s="56" t="str">
        <x:v>Austin / Central Texas</x:v>
      </x:c>
      <x:c r="E8" s="56" t="str">
        <x:v>SH 130 Seg. 1–4, SH 45N, Loop 1</x:v>
      </x:c>
      <x:c r="F8" s="56" t="str">
        <x:v>State of Texas / TxDOT</x:v>
      </x:c>
      <x:c r="G8" s="56" t="str">
        <x:v>TxDOT / contractors</x:v>
      </x:c>
      <x:c r="H8" s="56" t="str">
        <x:v>CTTS</x:v>
      </x:c>
      <x:c r="I8" s="56"/>
      <x:c r="J8" s="56" t="str">
        <x:v>Active</x:v>
      </x:c>
      <x:c r="K8" s="56" t="str">
        <x:v>TxDOT CTTS segment name</x:v>
      </x:c>
      <x:c r="L8" s="56" t="str">
        <x:v>https://www.txdot.gov/about/financial-management/financial-publications.html</x:v>
      </x:c>
      <x:c r="M8" s="56" t="str">
        <x:v>S11–S12</x:v>
      </x:c>
      <x:c r="N8" s="56" t="str">
        <x:v>Keep separate from SH 130 Segments 5–6 concession</x:v>
      </x:c>
    </x:row>
    <x:row r="9">
      <x:c r="A9" s="48" t="str">
        <x:v>GRAND_PARKWAY</x:v>
      </x:c>
      <x:c r="B9" s="48" t="str">
        <x:v>Grand Parkway System</x:v>
      </x:c>
      <x:c r="C9" s="48" t="str">
        <x:v>TxDOT/GPTC financed public system</x:v>
      </x:c>
      <x:c r="D9" s="48" t="str">
        <x:v>Houston region</x:v>
      </x:c>
      <x:c r="E9" s="48" t="str">
        <x:v>SH 99 segments in Greater Houston</x:v>
      </x:c>
      <x:c r="F9" s="48" t="str">
        <x:v>State of Texas / GPTC</x:v>
      </x:c>
      <x:c r="G9" s="48" t="str">
        <x:v>TxDOT / contractors</x:v>
      </x:c>
      <x:c r="H9" s="48" t="str">
        <x:v>Grand Parkway System</x:v>
      </x:c>
      <x:c r="I9" s="48"/>
      <x:c r="J9" s="48" t="str">
        <x:v>Active</x:v>
      </x:c>
      <x:c r="K9" s="48" t="str">
        <x:v>SH 99 segment letter</x:v>
      </x:c>
      <x:c r="L9" s="48" t="str">
        <x:v>https://www.txdot.gov/projects/projects-studies/houston/sh99-grand-parkway.html</x:v>
      </x:c>
      <x:c r="M9" s="48" t="str">
        <x:v>S11–S12</x:v>
      </x:c>
      <x:c r="N9" s="48" t="str">
        <x:v>Attach system debt/reserves; segment-level project cost is not system debt</x:v>
      </x:c>
    </x:row>
    <x:row r="10">
      <x:c r="A10" s="56" t="str">
        <x:v>FBCTRA</x:v>
      </x:c>
      <x:c r="B10" s="56" t="str">
        <x:v>Fort Bend County Toll Road Authority</x:v>
      </x:c>
      <x:c r="C10" s="56" t="str">
        <x:v>County authority</x:v>
      </x:c>
      <x:c r="D10" s="56" t="str">
        <x:v>Fort Bend County / Houston southwest</x:v>
      </x:c>
      <x:c r="E10" s="56" t="str">
        <x:v>Fort Bend Parkway and Westpark corridors</x:v>
      </x:c>
      <x:c r="F10" s="56" t="str">
        <x:v>Fort Bend County / FBCTRA</x:v>
      </x:c>
      <x:c r="G10" s="56" t="str">
        <x:v>FBCTRA / contractors</x:v>
      </x:c>
      <x:c r="H10" s="56" t="str">
        <x:v>FBCTRA</x:v>
      </x:c>
      <x:c r="I10" s="56"/>
      <x:c r="J10" s="56" t="str">
        <x:v>Active</x:v>
      </x:c>
      <x:c r="K10" s="56" t="str">
        <x:v>Authority + facility name</x:v>
      </x:c>
      <x:c r="L10" s="56" t="str">
        <x:v>https://www.fbctra.com/</x:v>
      </x:c>
      <x:c r="M10" s="56" t="str">
        <x:v>S25</x:v>
      </x:c>
      <x:c r="N10" s="56" t="str">
        <x:v>Do not combine with FBGPTRA</x:v>
      </x:c>
    </x:row>
    <x:row r="11">
      <x:c r="A11" s="48" t="str">
        <x:v>FBGPTRA</x:v>
      </x:c>
      <x:c r="B11" s="48" t="str">
        <x:v>Fort Bend Grand Parkway Toll Road Authority</x:v>
      </x:c>
      <x:c r="C11" s="48" t="str">
        <x:v>Separate county authority</x:v>
      </x:c>
      <x:c r="D11" s="48" t="str">
        <x:v>Fort Bend County</x:v>
      </x:c>
      <x:c r="E11" s="48" t="str">
        <x:v>Fort Bend Grand Parkway segments</x:v>
      </x:c>
      <x:c r="F11" s="48" t="str">
        <x:v>Fort Bend County / FBGPTRA</x:v>
      </x:c>
      <x:c r="G11" s="48" t="str">
        <x:v>FBGPTRA / contractors</x:v>
      </x:c>
      <x:c r="H11" s="48" t="str">
        <x:v>FBGPTRA</x:v>
      </x:c>
      <x:c r="I11" s="48"/>
      <x:c r="J11" s="48" t="str">
        <x:v>Active</x:v>
      </x:c>
      <x:c r="K11" s="48" t="str">
        <x:v>Authority + SH 99 segment</x:v>
      </x:c>
      <x:c r="L11" s="48" t="str">
        <x:v>https://www.fbctra.com/</x:v>
      </x:c>
      <x:c r="M11" s="48" t="str">
        <x:v>S26</x:v>
      </x:c>
      <x:c r="N11" s="48" t="str">
        <x:v>Separate reporting unit</x:v>
      </x:c>
    </x:row>
    <x:row r="12">
      <x:c r="A12" s="56" t="str">
        <x:v>NTE</x:v>
      </x:c>
      <x:c r="B12" s="56" t="str">
        <x:v>North Tarrant Express</x:v>
      </x:c>
      <x:c r="C12" s="56" t="str">
        <x:v>Private/hybrid concession</x:v>
      </x:c>
      <x:c r="D12" s="56" t="str">
        <x:v>Fort Worth / Tarrant County</x:v>
      </x:c>
      <x:c r="E12" s="56" t="str">
        <x:v>I-820 / SH 121 / SH 183 corridors</x:v>
      </x:c>
      <x:c r="F12" s="56" t="str">
        <x:v>State of Texas / TxDOT</x:v>
      </x:c>
      <x:c r="G12" s="56" t="str">
        <x:v>NTE Mobility Partners</x:v>
      </x:c>
      <x:c r="H12" s="56" t="str">
        <x:v>NTE project company</x:v>
      </x:c>
      <x:c r="I12" s="56" t="n">
        <x:v>2061</x:v>
      </x:c>
      <x:c r="J12" s="56" t="str">
        <x:v>Active concession</x:v>
      </x:c>
      <x:c r="K12" s="56" t="str">
        <x:v>NTE concession limits</x:v>
      </x:c>
      <x:c r="L12" s="56" t="str">
        <x:v>https://www.fhwa.dot.gov/ipd/project_profiles/tx_north_tarrant.aspx</x:v>
      </x:c>
      <x:c r="M12" s="56" t="str">
        <x:v>S17–S18</x:v>
      </x:c>
      <x:c r="N12" s="56" t="str">
        <x:v>Map concession limits, not all adjoining general-purpose lanes</x:v>
      </x:c>
    </x:row>
    <x:row r="13">
      <x:c r="A13" s="48" t="str">
        <x:v>LBJ</x:v>
      </x:c>
      <x:c r="B13" s="48" t="str">
        <x:v>LBJ Express</x:v>
      </x:c>
      <x:c r="C13" s="48" t="str">
        <x:v>Private/hybrid concession</x:v>
      </x:c>
      <x:c r="D13" s="48" t="str">
        <x:v>Dallas County</x:v>
      </x:c>
      <x:c r="E13" s="48" t="str">
        <x:v>I-635 / I-35E corridor</x:v>
      </x:c>
      <x:c r="F13" s="48" t="str">
        <x:v>State of Texas / TxDOT</x:v>
      </x:c>
      <x:c r="G13" s="48" t="str">
        <x:v>LBJ Infrastructure Group</x:v>
      </x:c>
      <x:c r="H13" s="48" t="str">
        <x:v>LBJ project company</x:v>
      </x:c>
      <x:c r="I13" s="48" t="n">
        <x:v>2061</x:v>
      </x:c>
      <x:c r="J13" s="48" t="str">
        <x:v>Active concession</x:v>
      </x:c>
      <x:c r="K13" s="48" t="str">
        <x:v>LBJ CDA limits</x:v>
      </x:c>
      <x:c r="L13" s="48" t="str">
        <x:v>https://www.fhwa.dot.gov/ipd/project_profiles/tx_lbj_express.aspx</x:v>
      </x:c>
      <x:c r="M13" s="48" t="str">
        <x:v>S17, S19</x:v>
      </x:c>
      <x:c r="N13" s="48" t="str">
        <x:v>Separate managed toll lanes from free general-purpose lanes</x:v>
      </x:c>
    </x:row>
    <x:row r="14">
      <x:c r="A14" s="56" t="str">
        <x:v>NTE35W</x:v>
      </x:c>
      <x:c r="B14" s="56" t="str">
        <x:v>NTE 35W</x:v>
      </x:c>
      <x:c r="C14" s="56" t="str">
        <x:v>Private/hybrid concession</x:v>
      </x:c>
      <x:c r="D14" s="56" t="str">
        <x:v>Fort Worth / Tarrant County</x:v>
      </x:c>
      <x:c r="E14" s="56" t="str">
        <x:v>I-35W corridor</x:v>
      </x:c>
      <x:c r="F14" s="56" t="str">
        <x:v>State of Texas / TxDOT</x:v>
      </x:c>
      <x:c r="G14" s="56" t="str">
        <x:v>NTE Mobility Partners Segments 3</x:v>
      </x:c>
      <x:c r="H14" s="56" t="str">
        <x:v>NTE 35W project company</x:v>
      </x:c>
      <x:c r="I14" s="56" t="n">
        <x:v>2061</x:v>
      </x:c>
      <x:c r="J14" s="56" t="str">
        <x:v>Active concession</x:v>
      </x:c>
      <x:c r="K14" s="56" t="str">
        <x:v>NTE35W segment 3A/3B</x:v>
      </x:c>
      <x:c r="L14" s="56" t="str">
        <x:v>https://www.fhwa.dot.gov/ipd/project_profiles/tx_north_tarrant_3a3b.aspx</x:v>
      </x:c>
      <x:c r="M14" s="56" t="str">
        <x:v>S17, S20</x:v>
      </x:c>
      <x:c r="N14" s="56" t="str">
        <x:v>Encode 3A private-finance and 3B public-delivery distinction</x:v>
      </x:c>
    </x:row>
    <x:row r="15">
      <x:c r="A15" s="48" t="str">
        <x:v>SH130_56</x:v>
      </x:c>
      <x:c r="B15" s="48" t="str">
        <x:v>SH 130 Segments 5–6</x:v>
      </x:c>
      <x:c r="C15" s="48" t="str">
        <x:v>Private concession</x:v>
      </x:c>
      <x:c r="D15" s="48" t="str">
        <x:v>Central / South Texas</x:v>
      </x:c>
      <x:c r="E15" s="48" t="str">
        <x:v>Travis, Caldwell and Guadalupe corridor</x:v>
      </x:c>
      <x:c r="F15" s="48" t="str">
        <x:v>State of Texas / TxDOT</x:v>
      </x:c>
      <x:c r="G15" s="48" t="str">
        <x:v>SH 130 Concession Company, LLC</x:v>
      </x:c>
      <x:c r="H15" s="48" t="str">
        <x:v>SH 130 Segments 5–6</x:v>
      </x:c>
      <x:c r="I15" s="48" t="n">
        <x:v>2062</x:v>
      </x:c>
      <x:c r="J15" s="48" t="str">
        <x:v>Active concession</x:v>
      </x:c>
      <x:c r="K15" s="48" t="str">
        <x:v>SH 130 segment number</x:v>
      </x:c>
      <x:c r="L15" s="48" t="str">
        <x:v>https://www.txdot.gov/business/road-bridge-maintenance/alternative-delivery/sh130.html</x:v>
      </x:c>
      <x:c r="M15" s="48" t="str">
        <x:v>S21–S24</x:v>
      </x:c>
      <x:c r="N15" s="48" t="str">
        <x:v>Do not merge with CTTS Segments 1–4</x:v>
      </x:c>
    </x:row>
    <x:row r="16">
      <x:c r="A16" s="56" t="str">
        <x:v>SH288</x:v>
      </x:c>
      <x:c r="B16" s="56" t="str">
        <x:v>SH 288 Toll Lanes</x:v>
      </x:c>
      <x:c r="C16" s="56" t="str">
        <x:v>Public after concession termination</x:v>
      </x:c>
      <x:c r="D16" s="56" t="str">
        <x:v>Houston / Harris County</x:v>
      </x:c>
      <x:c r="E16" s="56" t="str">
        <x:v>SH 288 managed toll lanes</x:v>
      </x:c>
      <x:c r="F16" s="56" t="str">
        <x:v>State of Texas / TxDOT</x:v>
      </x:c>
      <x:c r="G16" s="56" t="str">
        <x:v>TxDOT / TTFC structure</x:v>
      </x:c>
      <x:c r="H16" s="56" t="str">
        <x:v>SH 288 post-termination</x:v>
      </x:c>
      <x:c r="I16" s="56"/>
      <x:c r="J16" s="56" t="str">
        <x:v>Public control after 2024-10-08</x:v>
      </x:c>
      <x:c r="K16" s="56" t="str">
        <x:v>SH 288 toll-lane project limits</x:v>
      </x:c>
      <x:c r="L16" s="56" t="str">
        <x:v>https://www.txdot.gov/business/road-bridge-maintenance/alternative-delivery/sh288-toll-lanes.html</x:v>
      </x:c>
      <x:c r="M16" s="56" t="str">
        <x:v>S13–S16</x:v>
      </x:c>
      <x:c r="N16" s="56" t="str">
        <x:v>Style former concession separately from active concessions</x:v>
      </x:c>
    </x:row>
  </x:sheetData>
  <x:mergeCells>
    <x:mergeCell ref="A1:N1"/>
    <x:mergeCell ref="A2:N2"/>
  </x:mergeCells>
  <x:pageMargins left="0.7" right="0.7" top="0.75" bottom="0.75" header="0.3" footer="0.3"/>
</x:worksheet>
</file>

<file path=xl/worksheets/sheet12.xml><?xml version="1.0" encoding="utf-8"?>
<x:worksheet xmlns:x="http://schemas.openxmlformats.org/spreadsheetml/2006/main">
  <x:sheetFormatPr defaultRowHeight="15"/>
  <x:cols>
    <x:col min="1" max="1" width="31" hidden="0" customWidth="1"/>
    <x:col min="2" max="2" width="16" hidden="0" customWidth="1"/>
    <x:col min="3" max="3" width="24" hidden="0" customWidth="1"/>
    <x:col min="4" max="4" width="23" hidden="0" customWidth="1"/>
    <x:col min="5" max="5" width="3" hidden="0" customWidth="1"/>
    <x:col min="6" max="6" width="38" hidden="0" customWidth="1"/>
    <x:col min="7" max="7" width="18" hidden="0" customWidth="1"/>
    <x:col min="8" max="8" width="18" hidden="0" customWidth="1"/>
    <x:col min="9" max="9" width="38" hidden="0" customWidth="1"/>
  </x:cols>
  <x:sheetData>
    <x:row r="1" ht="28" customHeight="1">
      <x:c r="A1" s="5" t="str">
        <x:v>Accounting-to-Cash and Source-to-Use Reconciliations</x:v>
      </x:c>
      <x:c r="B1" s="5"/>
      <x:c r="C1" s="5"/>
      <x:c r="D1" s="5"/>
      <x:c r="E1" s="5"/>
      <x:c r="F1" s="5"/>
      <x:c r="G1" s="5"/>
      <x:c r="H1" s="5"/>
    </x:row>
    <x:row r="2" ht="34" customHeight="1">
      <x:c r="A2" s="13" t="str">
        <x:v>These controls prevent depreciation, principal, capital spending, reserves and transfers from being collapsed into one misleading expense number.</x:v>
      </x:c>
      <x:c r="B2" s="13"/>
      <x:c r="C2" s="13"/>
      <x:c r="D2" s="13"/>
      <x:c r="E2" s="13"/>
      <x:c r="F2" s="13"/>
      <x:c r="G2" s="13"/>
      <x:c r="H2" s="13"/>
    </x:row>
    <x:row r="4" ht="20" customHeight="1">
      <x:c r="A4" s="135" t="str">
        <x:v>HCTRA FY2025 total cash sources and uses</x:v>
      </x:c>
      <x:c r="B4" s="135"/>
      <x:c r="C4" s="135"/>
      <x:c r="D4" s="135"/>
      <x:c r="F4" s="135" t="str">
        <x:v>HCTRA operating income to operating cash bridge</x:v>
      </x:c>
      <x:c r="G4" s="135"/>
      <x:c r="H4" s="135"/>
      <x:c r="I4" s="135"/>
    </x:row>
    <x:row r="5" ht="30" customHeight="1">
      <x:c r="A5" s="29" t="str">
        <x:v>Line</x:v>
      </x:c>
      <x:c r="B5" s="30" t="str">
        <x:v>Amount ($mm)</x:v>
      </x:c>
      <x:c r="C5" s="30" t="str">
        <x:v>Formula / source</x:v>
      </x:c>
      <x:c r="D5" s="31" t="str">
        <x:v>Treatment</x:v>
      </x:c>
      <x:c r="F5" s="29" t="str">
        <x:v>Bridge line</x:v>
      </x:c>
      <x:c r="G5" s="30" t="str">
        <x:v>Amount ($mm)</x:v>
      </x:c>
      <x:c r="H5" s="30" t="str">
        <x:v>Formula / source</x:v>
      </x:c>
      <x:c r="I5" s="31" t="str">
        <x:v>Meaning</x:v>
      </x:c>
    </x:row>
    <x:row r="6">
      <x:c r="A6" s="48" t="str">
        <x:v>Beginning cash</x:v>
      </x:c>
      <x:c r="B6" s="74" t="n">
        <x:v>1304.740251</x:v>
      </x:c>
      <x:c r="C6" s="48" t="str">
        <x:v>S05</x:v>
      </x:c>
      <x:c r="D6" s="48" t="str">
        <x:v>Source</x:v>
      </x:c>
      <x:c r="F6" s="48" t="str">
        <x:v>Operating income</x:v>
      </x:c>
      <x:c r="G6" s="104" t="n">
        <x:f>'03_Accounting_View'!C16</x:f>
        <x:v>484.8996860000001</x:v>
      </x:c>
      <x:c r="H6" s="48" t="str">
        <x:v>03_Accounting_View!C16</x:v>
      </x:c>
      <x:c r="I6" s="48" t="str">
        <x:v>Accrual operating result</x:v>
      </x:c>
    </x:row>
    <x:row r="7">
      <x:c r="A7" s="48" t="str">
        <x:v>Customer receipts</x:v>
      </x:c>
      <x:c r="B7" s="74" t="n">
        <x:v>995.739823</x:v>
      </x:c>
      <x:c r="C7" s="48" t="str">
        <x:v>S05</x:v>
      </x:c>
      <x:c r="D7" s="48" t="str">
        <x:v>Source</x:v>
      </x:c>
      <x:c r="F7" s="48" t="str">
        <x:v>Add: depreciation/amortization</x:v>
      </x:c>
      <x:c r="G7" s="104" t="n">
        <x:f>'03_Accounting_View'!C14</x:f>
        <x:v>115.504655</x:v>
      </x:c>
      <x:c r="H7" s="48" t="str">
        <x:v>03_Accounting_View!C14</x:v>
      </x:c>
      <x:c r="I7" s="48" t="str">
        <x:v>Noncash expense</x:v>
      </x:c>
    </x:row>
    <x:row r="8">
      <x:c r="A8" s="48" t="str">
        <x:v>Other receipts</x:v>
      </x:c>
      <x:c r="B8" s="74" t="n">
        <x:v>2.418602</x:v>
      </x:c>
      <x:c r="C8" s="48" t="str">
        <x:v>S05</x:v>
      </x:c>
      <x:c r="D8" s="48" t="str">
        <x:v>Source</x:v>
      </x:c>
      <x:c r="F8" s="48" t="str">
        <x:v>Working-capital and other operating-cash adjustment</x:v>
      </x:c>
      <x:c r="G8" s="104" t="n">
        <x:f>G9-G6-G7</x:f>
        <x:v>-7.009010000000146</x:v>
      </x:c>
      <x:c r="H8" s="48" t="str">
        <x:v>Calculated residual</x:v>
      </x:c>
      <x:c r="I8" s="48" t="str">
        <x:v>Collection timing / payables / other</x:v>
      </x:c>
    </x:row>
    <x:row r="9">
      <x:c r="A9" s="48" t="str">
        <x:v>Commercial-paper proceeds</x:v>
      </x:c>
      <x:c r="B9" s="74" t="n">
        <x:v>249.52</x:v>
      </x:c>
      <x:c r="C9" s="48" t="str">
        <x:v>S05</x:v>
      </x:c>
      <x:c r="D9" s="48" t="str">
        <x:v>Source</x:v>
      </x:c>
      <x:c r="F9" s="48" t="str">
        <x:v>Net operating cash</x:v>
      </x:c>
      <x:c r="G9" s="104" t="n">
        <x:f>SUM('04_Cash_Waterfall'!C7:C8)-SUM('04_Cash_Waterfall'!C15:C16)</x:f>
        <x:v>593.3953309999999</x:v>
      </x:c>
      <x:c r="H9" s="48" t="str">
        <x:v>Cash receipts less employee/vendor payments</x:v>
      </x:c>
      <x:c r="I9" s="48" t="str">
        <x:v>Cash generated from operations</x:v>
      </x:c>
    </x:row>
    <x:row r="10">
      <x:c r="A10" s="48" t="str">
        <x:v>Investment sales and maturities</x:v>
      </x:c>
      <x:c r="B10" s="74" t="n">
        <x:v>1661.692053</x:v>
      </x:c>
      <x:c r="C10" s="48" t="str">
        <x:v>S05</x:v>
      </x:c>
      <x:c r="D10" s="48" t="str">
        <x:v>Source</x:v>
      </x:c>
      <x:c r="F10" s="123" t="str">
        <x:v>Check</x:v>
      </x:c>
      <x:c r="G10" s="124" t="n">
        <x:f>G6+G7+G8-G9</x:f>
        <x:v>0</x:v>
      </x:c>
      <x:c r="H10" s="123" t="str">
        <x:v>Net cash less bridge</x:v>
      </x:c>
      <x:c r="I10" s="123" t="str">
        <x:v>Should equal zero</x:v>
      </x:c>
    </x:row>
    <x:row r="11">
      <x:c r="A11" s="48" t="str">
        <x:v>Investment interest</x:v>
      </x:c>
      <x:c r="B11" s="74" t="n">
        <x:v>95.300543</x:v>
      </x:c>
      <x:c r="C11" s="48" t="str">
        <x:v>S05</x:v>
      </x:c>
      <x:c r="D11" s="48" t="str">
        <x:v>Source</x:v>
      </x:c>
    </x:row>
    <x:row r="12">
      <x:c r="A12" s="113" t="str">
        <x:v>Total identified sources</x:v>
      </x:c>
      <x:c r="B12" s="114" t="n">
        <x:f>SUM(B6:B11)</x:f>
        <x:v>4309.411272</x:v>
      </x:c>
      <x:c r="C12" s="113" t="str">
        <x:v>=SUM(B6:B11)</x:v>
      </x:c>
      <x:c r="D12" s="113" t="str">
        <x:v>Formula</x:v>
      </x:c>
    </x:row>
    <x:row r="13" ht="20" customHeight="1">
      <x:c r="A13" s="48" t="str">
        <x:v>Employee payments</x:v>
      </x:c>
      <x:c r="B13" s="74" t="n">
        <x:v>97.250205</x:v>
      </x:c>
      <x:c r="C13" s="48" t="str">
        <x:v>S05</x:v>
      </x:c>
      <x:c r="D13" s="48" t="str">
        <x:v>Use</x:v>
      </x:c>
      <x:c r="F13" s="135" t="str">
        <x:v>NTTA FY2025 recurring Trust-revenue identity</x:v>
      </x:c>
      <x:c r="G13" s="135"/>
      <x:c r="H13" s="135"/>
      <x:c r="I13" s="135"/>
    </x:row>
    <x:row r="14" ht="30" customHeight="1">
      <x:c r="A14" s="48" t="str">
        <x:v>Vendor payments</x:v>
      </x:c>
      <x:c r="B14" s="74" t="n">
        <x:v>307.512889</x:v>
      </x:c>
      <x:c r="C14" s="48" t="str">
        <x:v>S05</x:v>
      </x:c>
      <x:c r="D14" s="48" t="str">
        <x:v>Use</x:v>
      </x:c>
      <x:c r="F14" s="29" t="str">
        <x:v>Line</x:v>
      </x:c>
      <x:c r="G14" s="30" t="str">
        <x:v>Amount ($mm)</x:v>
      </x:c>
      <x:c r="H14" s="30" t="str">
        <x:v>Per $100</x:v>
      </x:c>
      <x:c r="I14" s="31" t="str">
        <x:v>Source</x:v>
      </x:c>
    </x:row>
    <x:row r="15">
      <x:c r="A15" s="48" t="str">
        <x:v>Transfer out</x:v>
      </x:c>
      <x:c r="B15" s="74" t="n">
        <x:v>398.613674</x:v>
      </x:c>
      <x:c r="C15" s="48" t="str">
        <x:v>S05</x:v>
      </x:c>
      <x:c r="D15" s="48" t="str">
        <x:v>Use</x:v>
      </x:c>
      <x:c r="F15" s="48" t="str">
        <x:v>Gross Trust revenue</x:v>
      </x:c>
      <x:c r="G15" s="74" t="n">
        <x:v>1357.531582</x:v>
      </x:c>
      <x:c r="H15" s="172" t="n">
        <x:f>G15/$G$15*100</x:f>
        <x:v>100</x:v>
      </x:c>
      <x:c r="I15" s="48" t="str">
        <x:v>S03</x:v>
      </x:c>
    </x:row>
    <x:row r="16">
      <x:c r="A16" s="48" t="str">
        <x:v>Capital assets</x:v>
      </x:c>
      <x:c r="B16" s="74" t="n">
        <x:v>315.269617</x:v>
      </x:c>
      <x:c r="C16" s="48" t="str">
        <x:v>S05</x:v>
      </x:c>
      <x:c r="D16" s="48" t="str">
        <x:v>Use</x:v>
      </x:c>
      <x:c r="F16" s="48" t="str">
        <x:v>Net O&amp;M</x:v>
      </x:c>
      <x:c r="G16" s="74" t="n">
        <x:v>252.666493</x:v>
      </x:c>
      <x:c r="H16" s="172" t="n">
        <x:f>G16/$G$15*100</x:f>
        <x:v>18.612199992265076</x:v>
      </x:c>
      <x:c r="I16" s="48" t="str">
        <x:v>S03</x:v>
      </x:c>
    </x:row>
    <x:row r="17">
      <x:c r="A17" s="48" t="str">
        <x:v>Lease/subscription principal</x:v>
      </x:c>
      <x:c r="B17" s="74" t="n">
        <x:v>6.98746</x:v>
      </x:c>
      <x:c r="C17" s="48" t="str">
        <x:v>S05</x:v>
      </x:c>
      <x:c r="D17" s="48" t="str">
        <x:v>Use</x:v>
      </x:c>
      <x:c r="F17" s="48" t="str">
        <x:v>Net debt service</x:v>
      </x:c>
      <x:c r="G17" s="74" t="n">
        <x:v>666.905038</x:v>
      </x:c>
      <x:c r="H17" s="172" t="n">
        <x:f>G17/$G$15*100</x:f>
        <x:v>49.1263000318176</x:v>
      </x:c>
      <x:c r="I17" s="48" t="str">
        <x:v>S03</x:v>
      </x:c>
    </x:row>
    <x:row r="18">
      <x:c r="A18" s="48" t="str">
        <x:v>Bond principal</x:v>
      </x:c>
      <x:c r="B18" s="74" t="n">
        <x:v>96.685</x:v>
      </x:c>
      <x:c r="C18" s="48" t="str">
        <x:v>S05</x:v>
      </x:c>
      <x:c r="D18" s="48" t="str">
        <x:v>Use</x:v>
      </x:c>
      <x:c r="F18" s="48" t="str">
        <x:v>Unallocated residual after O&amp;M and debt service</x:v>
      </x:c>
      <x:c r="G18" s="74" t="n">
        <x:v>437.960051</x:v>
      </x:c>
      <x:c r="H18" s="172" t="n">
        <x:f>G18/$G$15*100</x:f>
        <x:v>32.26149997591732</x:v>
      </x:c>
      <x:c r="I18" s="48" t="str">
        <x:v>Calculated algebraic remainder; not a proved allocation to named funds</x:v>
      </x:c>
    </x:row>
    <x:row r="19">
      <x:c r="A19" s="48" t="str">
        <x:v>Cash interest</x:v>
      </x:c>
      <x:c r="B19" s="74" t="n">
        <x:v>145.327763</x:v>
      </x:c>
      <x:c r="C19" s="48" t="str">
        <x:v>S05</x:v>
      </x:c>
      <x:c r="D19" s="48" t="str">
        <x:v>Use</x:v>
      </x:c>
      <x:c r="F19" s="123" t="str">
        <x:v>Check</x:v>
      </x:c>
      <x:c r="G19" s="124" t="n">
        <x:f>G15-SUM(G16:G18)</x:f>
        <x:v>0</x:v>
      </x:c>
      <x:c r="H19" s="185" t="n">
        <x:f>SUM(H16:H18)-100</x:f>
        <x:v>-1.4210854715202004e-14</x:v>
      </x:c>
      <x:c r="I19" s="123" t="str">
        <x:v>Formula</x:v>
      </x:c>
    </x:row>
    <x:row r="20">
      <x:c r="A20" s="48" t="str">
        <x:v>Commercial-paper repayment</x:v>
      </x:c>
      <x:c r="B20" s="74" t="n">
        <x:v>157.18</x:v>
      </x:c>
      <x:c r="C20" s="48" t="str">
        <x:v>S05</x:v>
      </x:c>
      <x:c r="D20" s="48" t="str">
        <x:v>Use</x:v>
      </x:c>
    </x:row>
    <x:row r="21">
      <x:c r="A21" s="48" t="str">
        <x:v>Bond fees</x:v>
      </x:c>
      <x:c r="B21" s="74" t="n">
        <x:v>0.132</x:v>
      </x:c>
      <x:c r="C21" s="48" t="str">
        <x:v>S05</x:v>
      </x:c>
      <x:c r="D21" s="48" t="str">
        <x:v>Use</x:v>
      </x:c>
    </x:row>
    <x:row r="22" ht="20" customHeight="1">
      <x:c r="A22" s="48" t="str">
        <x:v>Investment purchases</x:v>
      </x:c>
      <x:c r="B22" s="74" t="n">
        <x:v>1788.775903</x:v>
      </x:c>
      <x:c r="C22" s="48" t="str">
        <x:v>S05</x:v>
      </x:c>
      <x:c r="D22" s="48" t="str">
        <x:v>Use</x:v>
      </x:c>
      <x:c r="F22" s="135" t="str">
        <x:v>CTRMA audited-to-detailed comparability test</x:v>
      </x:c>
      <x:c r="G22" s="135"/>
      <x:c r="H22" s="135"/>
      <x:c r="I22" s="135"/>
    </x:row>
    <x:row r="23" ht="30" customHeight="1">
      <x:c r="A23" s="48" t="str">
        <x:v>Ending cash</x:v>
      </x:c>
      <x:c r="B23" s="74" t="n">
        <x:v>995.752822</x:v>
      </x:c>
      <x:c r="C23" s="48" t="str">
        <x:v>S05</x:v>
      </x:c>
      <x:c r="D23" s="48" t="str">
        <x:v>Use</x:v>
      </x:c>
      <x:c r="F23" s="29" t="str">
        <x:v>Line</x:v>
      </x:c>
      <x:c r="G23" s="30" t="str">
        <x:v>Amount ($mm)</x:v>
      </x:c>
      <x:c r="H23" s="30" t="str">
        <x:v>Difference ($mm)</x:v>
      </x:c>
      <x:c r="I23" s="31" t="str">
        <x:v>Decision</x:v>
      </x:c>
    </x:row>
    <x:row r="24">
      <x:c r="A24" s="113" t="str">
        <x:v>Total identified uses</x:v>
      </x:c>
      <x:c r="B24" s="114" t="n">
        <x:f>SUM(B13:B23)</x:f>
        <x:v>4309.487333</x:v>
      </x:c>
      <x:c r="C24" s="113" t="str">
        <x:v>=SUM(B13:B23)</x:v>
      </x:c>
      <x:c r="D24" s="113" t="str">
        <x:v>Formula</x:v>
      </x:c>
      <x:c r="F24" s="48" t="str">
        <x:v>Audited headline toll revenue</x:v>
      </x:c>
      <x:c r="G24" s="74" t="n">
        <x:v>276.4</x:v>
      </x:c>
      <x:c r="H24" s="70"/>
      <x:c r="I24" s="48" t="str">
        <x:v>Use for headline</x:v>
      </x:c>
    </x:row>
    <x:row r="25" ht="64.80000305175781" hidden="0" customHeight="1">
      <x:c r="A25" s="123" t="str">
        <x:v>Reconciliation difference</x:v>
      </x:c>
      <x:c r="B25" s="124" t="n">
        <x:f>B12-B24</x:f>
        <x:v>-0.07606099999975413</x:v>
      </x:c>
      <x:c r="C25" s="123" t="n">
        <x:f>B12-B24</x:f>
        <x:v>-0.07606099999975413</x:v>
      </x:c>
      <x:c r="D25" s="123" t="str">
        <x:v>Difference reflects rounding/classification limits in the published cash-flow lines; immaterial at $0.076mm (less than 0.002% of identified sources). It is disclosed, not forced to zero.</x:v>
      </x:c>
      <x:c r="F25" s="48" t="str">
        <x:v>Detailed tag + video tolls</x:v>
      </x:c>
      <x:c r="G25" s="74" t="n">
        <x:v>254.318401</x:v>
      </x:c>
      <x:c r="H25" s="70" t="n">
        <x:f>G24-G25</x:f>
        <x:v>22.081598999999983</x:v>
      </x:c>
      <x:c r="I25" s="48" t="str">
        <x:v>Final monthly statement; excludes fees</x:v>
      </x:c>
    </x:row>
    <x:row r="26">
      <x:c r="A26" s="123"/>
      <x:c r="B26" s="124"/>
      <x:c r="C26" s="123"/>
      <x:c r="D26" s="123"/>
      <x:c r="F26" s="48" t="str">
        <x:v>Detailed total operating revenue</x:v>
      </x:c>
      <x:c r="G26" s="74" t="n">
        <x:v>270.246953</x:v>
      </x:c>
      <x:c r="H26" s="70" t="n">
        <x:f>G24-G26</x:f>
        <x:v>6.153046999999958</x:v>
      </x:c>
      <x:c r="I26" s="48" t="str">
        <x:v>Includes fee revenue</x:v>
      </x:c>
    </x:row>
    <x:row r="27">
      <x:c r="F27" s="123" t="str">
        <x:v>Gap: audited headline vs detailed operating basis</x:v>
      </x:c>
      <x:c r="G27" s="124" t="n">
        <x:f>G24-G26</x:f>
        <x:v>6.153046999999958</x:v>
      </x:c>
      <x:c r="H27" s="124" t="n">
        <x:f>G27</x:f>
        <x:v>6.153046999999958</x:v>
      </x:c>
      <x:c r="I27" s="123" t="str">
        <x:v>Do not build exact $100 stack</x:v>
      </x:c>
    </x:row>
  </x:sheetData>
  <x:mergeCells>
    <x:mergeCell ref="A1:H1"/>
    <x:mergeCell ref="A2:H2"/>
    <x:mergeCell ref="A4:D4"/>
    <x:mergeCell ref="F4:I4"/>
    <x:mergeCell ref="F13:I13"/>
    <x:mergeCell ref="F22:I22"/>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4" hidden="0" customWidth="1"/>
    <x:col min="4" max="4" width="14" hidden="0" customWidth="1"/>
    <x:col min="5" max="5" width="14" hidden="0" customWidth="1"/>
    <x:col min="7" max="7" width="14" hidden="0" customWidth="1"/>
    <x:col min="8" max="8" width="14" hidden="0" customWidth="1"/>
    <x:col min="10" max="10" width="14" hidden="0" customWidth="1"/>
    <x:col min="11" max="11" width="14" hidden="0" customWidth="1"/>
    <x:col min="13" max="13" width="14" hidden="0" customWidth="1"/>
    <x:col min="14" max="14" width="14" hidden="0" customWidth="1"/>
    <x:col min="3" max="3" width="3" hidden="0" customWidth="1"/>
    <x:col min="6" max="6" width="3" hidden="0" customWidth="1"/>
    <x:col min="9" max="9" width="3" hidden="0" customWidth="1"/>
    <x:col min="12" max="12" width="3" hidden="0" customWidth="1"/>
  </x:cols>
  <x:sheetData>
    <x:row r="1" ht="28" customHeight="1">
      <x:c r="A1" s="5" t="str">
        <x:v>Five Separate Questions Hidden Inside “Is the Road Paid Off?”</x:v>
      </x:c>
      <x:c r="B1" s="5"/>
      <x:c r="C1" s="5"/>
      <x:c r="D1" s="5"/>
      <x:c r="E1" s="5"/>
      <x:c r="F1" s="5"/>
      <x:c r="G1" s="5"/>
      <x:c r="H1" s="5"/>
      <x:c r="I1" s="5"/>
      <x:c r="J1" s="5"/>
      <x:c r="K1" s="5"/>
      <x:c r="L1" s="5"/>
      <x:c r="M1" s="5"/>
      <x:c r="N1" s="5"/>
    </x:row>
    <x:row r="2" ht="34" customHeight="1">
      <x:c r="A2" s="13" t="str">
        <x:v>One balance reaching zero does not automatically extinguish the other four. The legal outcome depends on the system, bond documents, statute, orders and concession contract.</x:v>
      </x:c>
      <x:c r="B2" s="13"/>
      <x:c r="C2" s="13"/>
      <x:c r="D2" s="13"/>
      <x:c r="E2" s="13"/>
      <x:c r="F2" s="13"/>
      <x:c r="G2" s="13"/>
      <x:c r="H2" s="13"/>
      <x:c r="I2" s="13"/>
      <x:c r="J2" s="13"/>
      <x:c r="K2" s="13"/>
      <x:c r="L2" s="13"/>
      <x:c r="M2" s="13"/>
      <x:c r="N2" s="13"/>
    </x:row>
    <x:row r="4" ht="20" customHeight="1">
      <x:c r="A4" s="229" t="str">
        <x:v>1. INITIAL PROJECT COST</x:v>
      </x:c>
      <x:c r="B4" s="229"/>
      <x:c r="D4" s="229" t="str">
        <x:v>2. INDIVIDUAL ROAD DEBT</x:v>
      </x:c>
      <x:c r="E4" s="229"/>
      <x:c r="G4" s="229" t="str">
        <x:v>3. SYSTEM DEBT</x:v>
      </x:c>
      <x:c r="H4" s="229"/>
      <x:c r="J4" s="143" t="str">
        <x:v>4. LEGAL TOLLING AUTHORITY</x:v>
      </x:c>
      <x:c r="K4" s="143"/>
      <x:c r="M4" s="143" t="str">
        <x:v>5. CONCESSION RIGHTS</x:v>
      </x:c>
      <x:c r="N4" s="143"/>
    </x:row>
    <x:row r="5" ht="26" customHeight="1">
      <x:c r="A5" s="246" t="str">
        <x:v>Historic amount spent to build the original project. It may have been funded by bonds, public grants, TIFIA loans, equity, cash or in-kind contributions. Recovering this cost is usually not itself a legal toll sunset.</x:v>
      </x:c>
      <x:c r="B5" s="247"/>
      <x:c r="D5" s="246" t="str">
        <x:v>Debt explicitly secured by, or allocated to, one road. In a pooled system this may not exist as a separable balance. Paying it can leave system debt, reserve duties and legal toll authority intact.</x:v>
      </x:c>
      <x:c r="E5" s="247"/>
      <x:c r="G5" s="246" t="str">
        <x:v>Debt supported by all pledged system revenues. One road’s receipts can help operate, maintain, refinance or expand the wider network. Final maturity is not necessarily a promise to remove tolls.</x:v>
      </x:c>
      <x:c r="H5" s="247"/>
      <x:c r="J5" s="246" t="str">
        <x:v>Statutory and board authority to impose tolls. It can survive original-cost recovery, but may be constrained by a statute, bond covenant or project-specific order. Chapter 284’s conditional rule must be tested exactly.</x:v>
      </x:c>
      <x:c r="K5" s="247"/>
      <x:c r="M5" s="246" t="str">
        <x:v>Contractual rights to toll revenue and operations through a stated date, subject to default, termination or buyout. SH 288 shows these rights can have a multibillion-dollar value separate from public ownership of the pavement.</x:v>
      </x:c>
      <x:c r="N5" s="247"/>
    </x:row>
    <x:row r="6" ht="26" customHeight="1">
      <x:c r="A6" s="248"/>
      <x:c r="B6" s="249"/>
      <x:c r="D6" s="248"/>
      <x:c r="E6" s="249"/>
      <x:c r="G6" s="248"/>
      <x:c r="H6" s="249"/>
      <x:c r="J6" s="248"/>
      <x:c r="K6" s="249"/>
      <x:c r="M6" s="248"/>
      <x:c r="N6" s="249"/>
    </x:row>
    <x:row r="7" ht="26" customHeight="1">
      <x:c r="A7" s="250"/>
      <x:c r="B7" s="251"/>
      <x:c r="D7" s="250"/>
      <x:c r="E7" s="251"/>
      <x:c r="G7" s="250"/>
      <x:c r="H7" s="251"/>
      <x:c r="J7" s="250"/>
      <x:c r="K7" s="251"/>
      <x:c r="M7" s="250"/>
      <x:c r="N7" s="251"/>
    </x:row>
    <x:row r="8" ht="26" customHeight="1"/>
    <x:row r="9" ht="26" customHeight="1"/>
    <x:row r="10" ht="26" customHeight="1">
      <x:c r="A10" s="274" t="str">
        <x:v>DECISION FLOW</x:v>
      </x:c>
      <x:c r="B10" s="274"/>
      <x:c r="C10" s="274"/>
      <x:c r="D10" s="274"/>
      <x:c r="E10" s="274"/>
      <x:c r="F10" s="274"/>
      <x:c r="G10" s="274"/>
      <x:c r="H10" s="274"/>
      <x:c r="I10" s="274"/>
      <x:c r="J10" s="274"/>
      <x:c r="K10" s="274"/>
      <x:c r="L10" s="274"/>
      <x:c r="M10" s="274"/>
      <x:c r="N10" s="274"/>
    </x:row>
    <x:row r="11" ht="26" customHeight="1"/>
    <x:row r="12" ht="26" customHeight="1">
      <x:c r="A12" s="297" t="str">
        <x:v>Has the original project cost been recovered?
Economic history only. Do not stop here.</x:v>
      </x:c>
      <x:c r="B12" s="298"/>
      <x:c r="C12" s="299"/>
      <x:c r="D12" s="297" t="str">
        <x:v>Is this road’s own debt fully paid or defeased?
May be unavailable in a pooled system.</x:v>
      </x:c>
      <x:c r="E12" s="298"/>
      <x:c r="F12" s="299"/>
      <x:c r="G12" s="297" t="str">
        <x:v>Is the entire pledged system debt-free and free of reserve/capital obligations?
Check trust indenture, refundings and future projects.</x:v>
      </x:c>
      <x:c r="H12" s="298"/>
      <x:c r="I12" s="299"/>
      <x:c r="J12" s="297" t="str">
        <x:v>Does statute, order or board action terminate legal toll authority?
Chapter 284 requires project-specific review.</x:v>
      </x:c>
      <x:c r="K12" s="298"/>
      <x:c r="L12" s="299"/>
      <x:c r="M12" s="297" t="str">
        <x:v>Does a concession still grant private revenue rights?
Check exact end date, reversion, default and buyout clauses.</x:v>
      </x:c>
      <x:c r="N12" s="299"/>
    </x:row>
    <x:row r="13" ht="26" customHeight="1">
      <x:c r="A13" s="300"/>
      <x:c r="B13" s="301"/>
      <x:c r="C13" s="302"/>
      <x:c r="D13" s="300"/>
      <x:c r="E13" s="301"/>
      <x:c r="F13" s="302"/>
      <x:c r="G13" s="300"/>
      <x:c r="H13" s="301"/>
      <x:c r="I13" s="302"/>
      <x:c r="J13" s="300"/>
      <x:c r="K13" s="301"/>
      <x:c r="L13" s="302"/>
      <x:c r="M13" s="300"/>
      <x:c r="N13" s="302"/>
    </x:row>
    <x:row r="14" ht="26" customHeight="1"/>
    <x:row r="15" ht="26" customHeight="1"/>
    <x:row r="16" ht="26" customHeight="1">
      <x:c r="A16" s="356" t="str">
        <x:v>Texas answer: toll removal is a legal and financial decision, not an arithmetic consequence of dividing original construction cost by cumulative toll collections. A defensible conclusion requires all five tests for the exact system or concession.</x:v>
      </x:c>
      <x:c r="B16" s="357"/>
      <x:c r="C16" s="357"/>
      <x:c r="D16" s="357"/>
      <x:c r="E16" s="357"/>
      <x:c r="F16" s="357"/>
      <x:c r="G16" s="357"/>
      <x:c r="H16" s="357"/>
      <x:c r="I16" s="357"/>
      <x:c r="J16" s="357"/>
      <x:c r="K16" s="357"/>
      <x:c r="L16" s="357"/>
      <x:c r="M16" s="357"/>
      <x:c r="N16" s="358"/>
    </x:row>
    <x:row r="17" ht="26" customHeight="1">
      <x:c r="A17" s="359"/>
      <x:c r="B17" s="360"/>
      <x:c r="C17" s="360"/>
      <x:c r="D17" s="360"/>
      <x:c r="E17" s="360"/>
      <x:c r="F17" s="360"/>
      <x:c r="G17" s="360"/>
      <x:c r="H17" s="360"/>
      <x:c r="I17" s="360"/>
      <x:c r="J17" s="360"/>
      <x:c r="K17" s="360"/>
      <x:c r="L17" s="360"/>
      <x:c r="M17" s="360"/>
      <x:c r="N17" s="361"/>
    </x:row>
    <x:row r="18" ht="26" customHeight="1">
      <x:c r="A18" s="362"/>
      <x:c r="B18" s="363"/>
      <x:c r="C18" s="363"/>
      <x:c r="D18" s="363"/>
      <x:c r="E18" s="363"/>
      <x:c r="F18" s="363"/>
      <x:c r="G18" s="363"/>
      <x:c r="H18" s="363"/>
      <x:c r="I18" s="363"/>
      <x:c r="J18" s="363"/>
      <x:c r="K18" s="363"/>
      <x:c r="L18" s="363"/>
      <x:c r="M18" s="363"/>
      <x:c r="N18" s="364"/>
    </x:row>
  </x:sheetData>
  <x:mergeCells>
    <x:mergeCell ref="A1:N1"/>
    <x:mergeCell ref="A2:N2"/>
    <x:mergeCell ref="A4:B4"/>
    <x:mergeCell ref="A5:B7"/>
    <x:mergeCell ref="D4:E4"/>
    <x:mergeCell ref="D5:E7"/>
    <x:mergeCell ref="G4:H4"/>
    <x:mergeCell ref="G5:H7"/>
    <x:mergeCell ref="J4:K4"/>
    <x:mergeCell ref="J5:K7"/>
    <x:mergeCell ref="M4:N4"/>
    <x:mergeCell ref="M5:N7"/>
    <x:mergeCell ref="A10:N10"/>
    <x:mergeCell ref="A12:C13"/>
    <x:mergeCell ref="D12:F13"/>
    <x:mergeCell ref="G12:I13"/>
    <x:mergeCell ref="J12:L13"/>
    <x:mergeCell ref="M12:N13"/>
    <x:mergeCell ref="A16:N18"/>
  </x:mergeCells>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92" hidden="0" customWidth="1"/>
    <x:col min="3" max="3" width="42" hidden="0" customWidth="1"/>
    <x:col min="4" max="4" width="44" hidden="0" customWidth="1"/>
    <x:col min="5" max="5" width="2" hidden="0" customWidth="1"/>
    <x:col min="6" max="6" width="2" hidden="0" customWidth="1"/>
    <x:col min="7" max="7" width="2" hidden="0" customWidth="1"/>
    <x:col min="8" max="8" width="2" hidden="0" customWidth="1"/>
  </x:cols>
  <x:sheetData>
    <x:row r="1" ht="28" customHeight="1">
      <x:c r="A1" s="5" t="str">
        <x:v>SEO and Publication Package</x:v>
      </x:c>
      <x:c r="B1" s="5"/>
      <x:c r="C1" s="5"/>
      <x:c r="D1" s="5"/>
      <x:c r="E1" s="5"/>
      <x:c r="F1" s="5"/>
      <x:c r="G1" s="5"/>
      <x:c r="H1" s="5"/>
    </x:row>
    <x:row r="2" ht="34" customHeight="1">
      <x:c r="A2" s="13" t="str">
        <x:v>Final title is narrowed to avoid the literally false claim that every Texas toll road can never become free.</x:v>
      </x:c>
      <x:c r="B2" s="13"/>
      <x:c r="C2" s="13"/>
      <x:c r="D2" s="13"/>
      <x:c r="E2" s="13"/>
      <x:c r="F2" s="13"/>
      <x:c r="G2" s="13"/>
      <x:c r="H2" s="13"/>
    </x:row>
    <x:row r="4" ht="30" customHeight="1">
      <x:c r="A4" s="29" t="str">
        <x:v>Field</x:v>
      </x:c>
      <x:c r="B4" s="31" t="str">
        <x:v>Publication-ready value</x:v>
      </x:c>
    </x:row>
    <x:row r="5">
      <x:c r="A5" s="68" t="str">
        <x:v>H1</x:v>
      </x:c>
      <x:c r="B5" s="48" t="str">
        <x:v>Why Texas Toll Roads Stay Tolled: Where the Money Goes After Construction</x:v>
      </x:c>
    </x:row>
    <x:row r="6">
      <x:c r="A6" s="78" t="str">
        <x:v>SEO title</x:v>
      </x:c>
      <x:c r="B6" s="56" t="str">
        <x:v>Why Texas Toll Roads Stay Tolled After Construction</x:v>
      </x:c>
    </x:row>
    <x:row r="7">
      <x:c r="A7" s="68" t="str">
        <x:v>Meta description</x:v>
      </x:c>
      <x:c r="B7" s="48" t="str">
        <x:v>See where Texas toll revenue goes: operations, debt service, reserves, county transfers, new projects, and private concession payments.</x:v>
      </x:c>
    </x:row>
    <x:row r="8">
      <x:c r="A8" s="78" t="str">
        <x:v>Slug</x:v>
      </x:c>
      <x:c r="B8" s="56" t="str">
        <x:v>/research/financial-systems/why-texas-toll-roads-stay-tolled</x:v>
      </x:c>
    </x:row>
    <x:row r="9">
      <x:c r="A9" s="68" t="str">
        <x:v>Primary query</x:v>
      </x:c>
      <x:c r="B9" s="48" t="str">
        <x:v>why Texas toll roads never become free</x:v>
      </x:c>
    </x:row>
    <x:row r="10">
      <x:c r="A10" s="78" t="str">
        <x:v>Secondary queries</x:v>
      </x:c>
      <x:c r="B10" s="56" t="str">
        <x:v>where Texas toll money goes; Texas toll road debt; toll roads paid off; HCTRA toll revenue; NTTA debt</x:v>
      </x:c>
    </x:row>
    <x:row r="11">
      <x:c r="A11" s="68" t="str">
        <x:v>Opening case</x:v>
      </x:c>
      <x:c r="B11" s="48" t="str">
        <x:v>SH 288: Texas paid $1.7317 billion to terminate private contractual rights, regained control, and kept tolling publicly.</x:v>
      </x:c>
    </x:row>
    <x:row r="12">
      <x:c r="A12" s="78" t="str">
        <x:v>Lead figure</x:v>
      </x:c>
      <x:c r="B12" s="56" t="str">
        <x:v>Publication-safe FY2025 $100 chart: CTTS and Grand Parkway only; HCTRA shown as a separate multi-source cash panel; NTTA discussed on its own Trust denominator.</x:v>
      </x:c>
    </x:row>
    <x:row r="13">
      <x:c r="A13" s="68" t="str">
        <x:v>Methods note</x:v>
      </x:c>
      <x:c r="B13" s="48" t="str">
        <x:v>Latest audited fiscal year by system; interim records used only for category detail; no statewide denominator.</x:v>
      </x:c>
    </x:row>
    <x:row r="16" ht="20" customHeight="1">
      <x:c r="A16" s="135" t="str">
        <x:v>Internal-link plan</x:v>
      </x:c>
      <x:c r="B16" s="135"/>
      <x:c r="C16" s="135"/>
      <x:c r="D16" s="135"/>
    </x:row>
    <x:row r="17" ht="30" customHeight="1">
      <x:c r="A17" s="29" t="str">
        <x:v>Anchor text</x:v>
      </x:c>
      <x:c r="B17" s="30" t="str">
        <x:v>Target article / path</x:v>
      </x:c>
      <x:c r="C17" s="30" t="str">
        <x:v>Placement</x:v>
      </x:c>
      <x:c r="D17" s="31" t="str">
        <x:v>Purpose</x:v>
      </x:c>
    </x:row>
    <x:row r="18">
      <x:c r="A18" s="56" t="str">
        <x:v>who owns Texas toll roads</x:v>
      </x:c>
      <x:c r="B18" s="56" t="str">
        <x:v>Existing ownership article /who-owns-texas-toll-roads/</x:v>
      </x:c>
      <x:c r="C18" s="56" t="str">
        <x:v>After five-question framework</x:v>
      </x:c>
      <x:c r="D18" s="56" t="str">
        <x:v>Move entity-ownership readers to the money-flow analysis</x:v>
      </x:c>
    </x:row>
    <x:row r="19">
      <x:c r="A19" s="48" t="str">
        <x:v>who owns America’s toll roads</x:v>
      </x:c>
      <x:c r="B19" s="48" t="str">
        <x:v>A01 ownership sprint article</x:v>
      </x:c>
      <x:c r="C19" s="48" t="str">
        <x:v>Private concession section</x:v>
      </x:c>
      <x:c r="D19" s="48" t="str">
        <x:v>Broaden from Texas cases to national structures</x:v>
      </x:c>
    </x:row>
    <x:row r="20">
      <x:c r="A20" s="56" t="str">
        <x:v>who owns the Texas power grid</x:v>
      </x:c>
      <x:c r="B20" s="56" t="str">
        <x:v>A03 ownership sprint article</x:v>
      </x:c>
      <x:c r="C20" s="56" t="str">
        <x:v>Related ownership research box</x:v>
      </x:c>
      <x:c r="D20" s="56" t="str">
        <x:v>Cross-link to another Texas infrastructure ownership investigation</x:v>
      </x:c>
    </x:row>
    <x:row r="21">
      <x:c r="A21" s="48" t="str">
        <x:v>Texas toll-road ownership map</x:v>
      </x:c>
      <x:c r="B21" s="48" t="str">
        <x:v>Existing map/table in ownership article</x:v>
      </x:c>
      <x:c r="C21" s="48" t="str">
        <x:v>Map-ready data section</x:v>
      </x:c>
      <x:c r="D21" s="48" t="str">
        <x:v>Avoid duplicating entity-mapping work</x:v>
      </x:c>
    </x:row>
    <x:row r="24" ht="20" customHeight="1">
      <x:c r="A24" s="135" t="str">
        <x:v>Follow-on article ideas supported by the findings</x:v>
      </x:c>
      <x:c r="B24" s="135"/>
      <x:c r="C24" s="135"/>
      <x:c r="D24" s="135"/>
    </x:row>
    <x:row r="25" ht="30" customHeight="1">
      <x:c r="A25" s="29" t="str">
        <x:v>Proposed title</x:v>
      </x:c>
      <x:c r="B25" s="30" t="str">
        <x:v>Evidence base</x:v>
      </x:c>
      <x:c r="C25" s="30" t="str">
        <x:v>Distinct question</x:v>
      </x:c>
      <x:c r="D25" s="31" t="str">
        <x:v>Priority</x:v>
      </x:c>
    </x:row>
    <x:row r="26">
      <x:c r="A26" s="56" t="str">
        <x:v>How Harris County Spends Toll-Road Surplus</x:v>
      </x:c>
      <x:c r="B26" s="56" t="str">
        <x:v>HCTRA audited transfers and Chapter 284 authority</x:v>
      </x:c>
      <x:c r="C26" s="56" t="str">
        <x:v>Which roads and mobility projects receive the county transfer?</x:v>
      </x:c>
      <x:c r="D26" s="56" t="str">
        <x:v>High</x:v>
      </x:c>
    </x:row>
    <x:row r="27">
      <x:c r="A27" s="48" t="str">
        <x:v>What Texas Paid to Buy Back SH 288</x:v>
      </x:c>
      <x:c r="B27" s="48" t="str">
        <x:v>Termination agreement, state loan and TTFC refinancing</x:v>
      </x:c>
      <x:c r="C27" s="48" t="str">
        <x:v>Did the $1.7317bn buyout lower tolls and what now repays the state?</x:v>
      </x:c>
      <x:c r="D27" s="48" t="str">
        <x:v>High</x:v>
      </x:c>
    </x:row>
    <x:row r="28">
      <x:c r="A28" s="56" t="str">
        <x:v>The Hidden Debt Behind North Texas Toll Roads</x:v>
      </x:c>
      <x:c r="B28" s="56" t="str">
        <x:v>NTTA trust, refundings and pooled system debt</x:v>
      </x:c>
      <x:c r="C28" s="56" t="str">
        <x:v>How do new roads and refinancings keep system debt alive after older roads mature?</x:v>
      </x:c>
      <x:c r="D28" s="56" t="str">
        <x:v>Medium-high</x:v>
      </x:c>
    </x:row>
    <x:row r="31" ht="20" customHeight="1">
      <x:c r="A31" s="135" t="str">
        <x:v>Dated correction and update protocol</x:v>
      </x:c>
      <x:c r="B31" s="135"/>
      <x:c r="C31" s="135"/>
      <x:c r="D31" s="135"/>
    </x:row>
    <x:row r="32" ht="30" customHeight="1">
      <x:c r="A32" s="29" t="str">
        <x:v>Trigger</x:v>
      </x:c>
      <x:c r="B32" s="30" t="str">
        <x:v>Action</x:v>
      </x:c>
      <x:c r="C32" s="30" t="str">
        <x:v>Required source</x:v>
      </x:c>
      <x:c r="D32" s="31" t="str">
        <x:v>Publication treatment</x:v>
      </x:c>
    </x:row>
    <x:row r="33">
      <x:c r="A33" s="48" t="str">
        <x:v>New audited fiscal year</x:v>
      </x:c>
      <x:c r="B33" s="48" t="str">
        <x:v>Refresh every system row, chart denominator, debt balance, coverage and transfer</x:v>
      </x:c>
      <x:c r="C33" s="48" t="str">
        <x:v>New ACFR / audited financial statements</x:v>
      </x:c>
      <x:c r="D33" s="48" t="str">
        <x:v>Update “as of” date and retain prior workbook version</x:v>
      </x:c>
    </x:row>
    <x:row r="34">
      <x:c r="A34" s="56" t="str">
        <x:v>Refunding or new-money bond</x:v>
      </x:c>
      <x:c r="B34" s="56" t="str">
        <x:v>Update debt timeline, final maturity, pledge and coverage</x:v>
      </x:c>
      <x:c r="C34" s="56" t="str">
        <x:v>Official statement / EMMA continuing disclosure</x:v>
      </x:c>
      <x:c r="D34" s="56" t="str">
        <x:v>Do not say debt fell unless principal and refunding proceeds are reconciled</x:v>
      </x:c>
    </x:row>
    <x:row r="35">
      <x:c r="A35" s="48" t="str">
        <x:v>Toll-rate or toll-removal action</x:v>
      </x:c>
      <x:c r="B35" s="48" t="str">
        <x:v>Update legal decision-maker and active rate status</x:v>
      </x:c>
      <x:c r="C35" s="48" t="str">
        <x:v>Board/commission order and rate schedule</x:v>
      </x:c>
      <x:c r="D35" s="48" t="str">
        <x:v>Date-stamp the action; distinguish proposal from adopted order</x:v>
      </x:c>
    </x:row>
    <x:row r="36">
      <x:c r="A36" s="56" t="str">
        <x:v>Concession ownership, amendment, default or termination</x:v>
      </x:c>
      <x:c r="B36" s="56" t="str">
        <x:v>Refresh sponsors, revenue rights and reversion terms</x:v>
      </x:c>
      <x:c r="C36" s="56" t="str">
        <x:v>Executed amendment, filing or transaction document</x:v>
      </x:c>
      <x:c r="D36" s="56" t="str">
        <x:v>Do not rely solely on company marketing pages</x:v>
      </x:c>
    </x:row>
    <x:row r="37">
      <x:c r="A37" s="48" t="str">
        <x:v>Correction request</x:v>
      </x:c>
      <x:c r="B37" s="48" t="str">
        <x:v>Log claimant, evidence, disputed sentence and disposition</x:v>
      </x:c>
      <x:c r="C37" s="48" t="str">
        <x:v>Primary document preferred</x:v>
      </x:c>
      <x:c r="D37" s="48" t="str">
        <x:v>Publish correction date and substantive change note within 5 business days after verification</x:v>
      </x:c>
    </x:row>
    <x:row r="38">
      <x:c r="A38" s="56" t="str">
        <x:v>Scheduled review</x:v>
      </x:c>
      <x:c r="B38" s="56" t="str">
        <x:v>Quarterly source-link check; annual full financial refresh</x:v>
      </x:c>
      <x:c r="C38" s="56" t="str">
        <x:v>All primary hubs</x:v>
      </x:c>
      <x:c r="D38" s="56" t="str">
        <x:v>Last reviewed: 2026-09-02</x:v>
      </x:c>
    </x:row>
    <x:row r="39">
      <x:c r="A39" t="str">
        <x:v>Web publication assets</x:v>
      </x:c>
      <x:c r="B39"/>
      <x:c r="C39"/>
      <x:c r="D39"/>
    </x:row>
    <x:row r="40">
      <x:c r="A40" t="str">
        <x:v>Canonical path</x:v>
      </x:c>
      <x:c r="B40" t="str">
        <x:v>/research/financial-systems/why-texas-toll-roads-stay-tolled</x:v>
      </x:c>
      <x:c r="C40"/>
      <x:c r="D40"/>
    </x:row>
    <x:row r="41">
      <x:c r="A41" t="str">
        <x:v>Aliases</x:v>
      </x:c>
      <x:c r="B41" t="str">
        <x:v>/markets/why-texas-toll-roads-stay-tolled; /why-texas-toll-roads-stay-tolled</x:v>
      </x:c>
      <x:c r="C41"/>
      <x:c r="D41"/>
    </x:row>
    <x:row r="42">
      <x:c r="A42" t="str">
        <x:v>Related page</x:v>
      </x:c>
      <x:c r="B42" t="str">
        <x:v>/markets/who-owns-texas-toll-roads</x:v>
      </x:c>
      <x:c r="C42" t="str">
        <x:v>Ownership map; does not duplicate the money-flow article</x:v>
      </x:c>
      <x:c r="D42"/>
    </x:row>
  </x:sheetData>
  <x:mergeCells>
    <x:mergeCell ref="A1:H1"/>
    <x:mergeCell ref="A2:H2"/>
    <x:mergeCell ref="A16:D16"/>
    <x:mergeCell ref="A24:D24"/>
    <x:mergeCell ref="A31:D31"/>
  </x:mergeCells>
  <x:pageMargins left="0.7" right="0.7" top="0.75" bottom="0.75" header="0.3" footer="0.3"/>
</x:worksheet>
</file>

<file path=xl/worksheets/sheet15.xml><?xml version="1.0" encoding="utf-8"?>
<x:worksheet xmlns:x="http://schemas.openxmlformats.org/spreadsheetml/2006/main">
  <x:sheetFormatPr defaultRowHeight="15"/>
  <x:cols>
    <x:col min="1" max="1" width="32" hidden="0" customWidth="1"/>
    <x:col min="2" max="2" width="22" hidden="0" customWidth="1"/>
    <x:col min="3" max="3" width="55" hidden="0" customWidth="1"/>
    <x:col min="4" max="4" width="18" hidden="0" customWidth="1"/>
    <x:col min="5" max="5" width="38" hidden="0" customWidth="1"/>
    <x:col min="6" max="6" width="40" hidden="0" customWidth="1"/>
    <x:col min="7" max="7" width="12" hidden="0" customWidth="1"/>
    <x:col min="8" max="8" width="14" hidden="0" customWidth="1"/>
    <x:col min="9" max="9" width="31" hidden="0" customWidth="1"/>
  </x:cols>
  <x:sheetData>
    <x:row r="1" ht="28" customHeight="1">
      <x:c r="A1" s="5" t="str">
        <x:v>Fact-Check Gate and Exceptions</x:v>
      </x:c>
      <x:c r="B1" s="5"/>
      <x:c r="C1" s="5"/>
      <x:c r="D1" s="5"/>
      <x:c r="E1" s="5"/>
      <x:c r="F1" s="5"/>
      <x:c r="G1" s="5"/>
      <x:c r="H1" s="5"/>
      <x:c r="I1" s="5"/>
    </x:row>
    <x:row r="2" ht="34" customHeight="1">
      <x:c r="A2" s="13" t="str">
        <x:v>Publication wording is cleared only where the evidence supports the exact system, fiscal year, debt definition and legal proposition.</x:v>
      </x:c>
      <x:c r="B2" s="13"/>
      <x:c r="C2" s="13"/>
      <x:c r="D2" s="13"/>
      <x:c r="E2" s="13"/>
      <x:c r="F2" s="13"/>
      <x:c r="G2" s="13"/>
      <x:c r="H2" s="13"/>
      <x:c r="I2" s="13"/>
    </x:row>
    <x:row r="4" ht="30" customHeight="1">
      <x:c r="A4" s="29" t="str">
        <x:v>Claim / issue</x:v>
      </x:c>
      <x:c r="B4" s="30" t="str">
        <x:v>Status</x:v>
      </x:c>
      <x:c r="C4" s="30" t="str">
        <x:v>Publication wording</x:v>
      </x:c>
      <x:c r="D4" s="30" t="str">
        <x:v>Evidence</x:v>
      </x:c>
      <x:c r="E4" s="30" t="str">
        <x:v>Risk if overstated</x:v>
      </x:c>
      <x:c r="F4" s="30" t="str">
        <x:v>Needed follow-up</x:v>
      </x:c>
      <x:c r="G4" s="30" t="str">
        <x:v>Owner</x:v>
      </x:c>
      <x:c r="H4" s="30" t="str">
        <x:v>Last checked</x:v>
      </x:c>
      <x:c r="I4" s="31" t="str">
        <x:v>Correction trigger</x:v>
      </x:c>
    </x:row>
    <x:row r="5">
      <x:c r="A5" s="48" t="str">
        <x:v>Title says toll roads never become free</x:v>
      </x:c>
      <x:c r="B5" s="48" t="str">
        <x:v>Resolved — narrow title</x:v>
      </x:c>
      <x:c r="C5" s="48" t="str">
        <x:v>Use “Why Texas Toll Roads Stay Tolled,” not a universal “never become free” claim</x:v>
      </x:c>
      <x:c r="D5" s="48" t="str">
        <x:v>S06–S07, S27–S29</x:v>
      </x:c>
      <x:c r="E5" s="48" t="str">
        <x:v>Chapter 284 has a conditional payoff/handoff rule</x:v>
      </x:c>
      <x:c r="F5" s="48" t="str">
        <x:v>None before publish</x:v>
      </x:c>
      <x:c r="G5" s="48" t="str">
        <x:v>A02</x:v>
      </x:c>
      <x:c r="H5" s="48" t="str">
        <x:v>2026-09-02</x:v>
      </x:c>
      <x:c r="I5" s="48" t="str">
        <x:v>New legal order or toll removal</x:v>
      </x:c>
    </x:row>
    <x:row r="6">
      <x:c r="A6" s="56" t="str">
        <x:v>SH 288 opening fact</x:v>
      </x:c>
      <x:c r="B6" s="56" t="str">
        <x:v>Cleared</x:v>
      </x:c>
      <x:c r="C6" s="56" t="str">
        <x:v>Texas paid $1,731,730,721 to terminate private contractual rights; control reverted 2024-10-08 and public tolling continued</x:v>
      </x:c>
      <x:c r="D6" s="56" t="str">
        <x:v>S13–S16</x:v>
      </x:c>
      <x:c r="E6" s="56" t="str">
        <x:v>Confusing pavement ownership with concession rights</x:v>
      </x:c>
      <x:c r="F6" s="56" t="str">
        <x:v>Check final transaction adjustment if later disclosed</x:v>
      </x:c>
      <x:c r="G6" s="56" t="str">
        <x:v>A02</x:v>
      </x:c>
      <x:c r="H6" s="56" t="str">
        <x:v>2026-09-02</x:v>
      </x:c>
      <x:c r="I6" s="56" t="str">
        <x:v>TTFC financing or rate action</x:v>
      </x:c>
    </x:row>
    <x:row r="7">
      <x:c r="A7" s="48" t="str">
        <x:v>HCTRA FY2025 transfer</x:v>
      </x:c>
      <x:c r="B7" s="48" t="str">
        <x:v>Cleared</x:v>
      </x:c>
      <x:c r="C7" s="48" t="str">
        <x:v>$398.6m transferred to county mobility/thoroughfare program; do not call it unrestricted general-fund spending</x:v>
      </x:c>
      <x:c r="D7" s="48" t="str">
        <x:v>S05–S06</x:v>
      </x:c>
      <x:c r="E7" s="48" t="str">
        <x:v>Calling lawful transportation transfer misuse or general operations</x:v>
      </x:c>
      <x:c r="F7" s="48" t="str">
        <x:v>Track recipient-project reporting</x:v>
      </x:c>
      <x:c r="G7" s="48" t="str">
        <x:v>A02</x:v>
      </x:c>
      <x:c r="H7" s="48" t="str">
        <x:v>2026-09-02</x:v>
      </x:c>
      <x:c r="I7" s="48" t="str">
        <x:v>County budget / transfer-policy change</x:v>
      </x:c>
    </x:row>
    <x:row r="8">
      <x:c r="A8" s="56" t="str">
        <x:v>HCTRA coverage</x:v>
      </x:c>
      <x:c r="B8" s="56" t="str">
        <x:v>Qualified</x:v>
      </x:c>
      <x:c r="C8" s="56" t="str">
        <x:v>Use ACFR narrative 5.10x and note statistical table uses a different definition</x:v>
      </x:c>
      <x:c r="D8" s="56" t="str">
        <x:v>S05</x:v>
      </x:c>
      <x:c r="E8" s="56" t="str">
        <x:v>Mixing 5.10x with 4.64x table ratio</x:v>
      </x:c>
      <x:c r="F8" s="56" t="str">
        <x:v>Quote formula definition in source note</x:v>
      </x:c>
      <x:c r="G8" s="56" t="str">
        <x:v>A02</x:v>
      </x:c>
      <x:c r="H8" s="56" t="str">
        <x:v>2026-09-02</x:v>
      </x:c>
      <x:c r="I8" s="56" t="str">
        <x:v>New ACFR</x:v>
      </x:c>
    </x:row>
    <x:row r="9">
      <x:c r="A9" s="48" t="str">
        <x:v>NTTA FY2025 debt service</x:v>
      </x:c>
      <x:c r="B9" s="48" t="str">
        <x:v>Qualified</x:v>
      </x:c>
      <x:c r="C9" s="48" t="str">
        <x:v>Use audited $675.7m headline; use preliminary $666.9m only for category split</x:v>
      </x:c>
      <x:c r="D9" s="48" t="str">
        <x:v>S02–S03</x:v>
      </x:c>
      <x:c r="E9" s="48" t="str">
        <x:v>Presenting preliminary detail as audited</x:v>
      </x:c>
      <x:c r="F9" s="48" t="str">
        <x:v>Reconcile year-end adjustment when machine-readable ACFR available</x:v>
      </x:c>
      <x:c r="G9" s="48" t="str">
        <x:v>A02</x:v>
      </x:c>
      <x:c r="H9" s="48" t="str">
        <x:v>2026-09-02</x:v>
      </x:c>
      <x:c r="I9" s="48" t="str">
        <x:v>Revised ACFR or MFR</x:v>
      </x:c>
    </x:row>
    <x:row r="10">
      <x:c r="A10" s="56" t="str">
        <x:v>NTTA $100 denominator and residual</x:v>
      </x:c>
      <x:c r="B10" s="56" t="str">
        <x:v>Cleared with note</x:v>
      </x:c>
      <x:c r="C10" s="56" t="str">
        <x:v>Use gross Trust revenue, not toll revenue. Call $438.0m / $32.26 per $100 an algebraic unallocated residual after MFR O&amp;M and preliminary debt service, not a named reserve or capital allocation.</x:v>
      </x:c>
      <x:c r="D10" s="56" t="str">
        <x:v>S03–S04</x:v>
      </x:c>
      <x:c r="E10" s="56" t="str">
        <x:v>Implying all $100 came from drivers or that the remainder was deposited into specific funds</x:v>
      </x:c>
      <x:c r="F10" s="56" t="str">
        <x:v>Keep denominator and residual qualification beside every chart</x:v>
      </x:c>
      <x:c r="G10" s="56" t="str">
        <x:v>A02</x:v>
      </x:c>
      <x:c r="H10" s="56" t="str">
        <x:v>2026-09-02</x:v>
      </x:c>
      <x:c r="I10" s="56" t="str">
        <x:v>Trust definition changes</x:v>
      </x:c>
    </x:row>
    <x:row r="11">
      <x:c r="A11" s="48" t="str">
        <x:v>CTRMA detailed waterfall</x:v>
      </x:c>
      <x:c r="B11" s="48" t="str">
        <x:v>Not exact</x:v>
      </x:c>
      <x:c r="C11" s="48" t="str">
        <x:v>Use audited headline only in article; label monthly detail unaudited and exclude from stack</x:v>
      </x:c>
      <x:c r="D11" s="48" t="str">
        <x:v>S08–S10</x:v>
      </x:c>
      <x:c r="E11" s="48" t="str">
        <x:v>False precision from mismatched audited and monthly totals</x:v>
      </x:c>
      <x:c r="F11" s="48" t="str">
        <x:v>Capture full ACFR page-level detail</x:v>
      </x:c>
      <x:c r="G11" s="48" t="str">
        <x:v>A02</x:v>
      </x:c>
      <x:c r="H11" s="48" t="str">
        <x:v>2026-09-02</x:v>
      </x:c>
      <x:c r="I11" s="48" t="str">
        <x:v>New ACFR extraction</x:v>
      </x:c>
    </x:row>
    <x:row r="12">
      <x:c r="A12" s="56" t="str">
        <x:v>CTTS / Grand Parkway residual</x:v>
      </x:c>
      <x:c r="B12" s="56" t="str">
        <x:v>Cleared</x:v>
      </x:c>
      <x:c r="C12" s="56" t="str">
        <x:v>Call residual a bond-required reserve amount, not profit or free cash</x:v>
      </x:c>
      <x:c r="D12" s="56" t="str">
        <x:v>S11–S12</x:v>
      </x:c>
      <x:c r="E12" s="56" t="str">
        <x:v>Mislabeling reserves as distributable surplus</x:v>
      </x:c>
      <x:c r="F12" s="56" t="str">
        <x:v>Pair with bond documents in long form notes</x:v>
      </x:c>
      <x:c r="G12" s="56" t="str">
        <x:v>A02</x:v>
      </x:c>
      <x:c r="H12" s="56" t="str">
        <x:v>2026-09-02</x:v>
      </x:c>
      <x:c r="I12" s="56" t="str">
        <x:v>New HB803 report</x:v>
      </x:c>
    </x:row>
    <x:row r="13">
      <x:c r="A13" s="48" t="str">
        <x:v>FBCTRA vs FBGPTRA</x:v>
      </x:c>
      <x:c r="B13" s="48" t="str">
        <x:v>Cleared</x:v>
      </x:c>
      <x:c r="C13" s="48" t="str">
        <x:v>Treat as separate authorities and financial statements</x:v>
      </x:c>
      <x:c r="D13" s="48" t="str">
        <x:v>S25–S26</x:v>
      </x:c>
      <x:c r="E13" s="48" t="str">
        <x:v>Combining debt/revenue across corporations</x:v>
      </x:c>
      <x:c r="F13" s="48" t="str">
        <x:v>Refresh exact FBGPTRA revenue before quoted publication use</x:v>
      </x:c>
      <x:c r="G13" s="48" t="str">
        <x:v>A02</x:v>
      </x:c>
      <x:c r="H13" s="48" t="str">
        <x:v>2026-09-02</x:v>
      </x:c>
      <x:c r="I13" s="48" t="str">
        <x:v>New audits</x:v>
      </x:c>
    </x:row>
    <x:row r="14">
      <x:c r="A14" s="56" t="str">
        <x:v>FBGPTRA toll revenue</x:v>
      </x:c>
      <x:c r="B14" s="56" t="str">
        <x:v>Weak / rounded</x:v>
      </x:c>
      <x:c r="C14" s="56" t="str">
        <x:v>Do not quote the $45.8m rounded figure in article body until exact page-level capture</x:v>
      </x:c>
      <x:c r="D14" s="56" t="str">
        <x:v>S26</x:v>
      </x:c>
      <x:c r="E14" s="56" t="str">
        <x:v>Publishing an approximate amount as exact</x:v>
      </x:c>
      <x:c r="F14" s="56" t="str">
        <x:v>Extract exact audited figure</x:v>
      </x:c>
      <x:c r="G14" s="56" t="str">
        <x:v>A02</x:v>
      </x:c>
      <x:c r="H14" s="56" t="str">
        <x:v>2026-09-02</x:v>
      </x:c>
      <x:c r="I14" s="56" t="str">
        <x:v>Page-level capture</x:v>
      </x:c>
    </x:row>
    <x:row r="15">
      <x:c r="A15" s="48" t="str">
        <x:v>Private-concession dividends</x:v>
      </x:c>
      <x:c r="B15" s="48" t="str">
        <x:v>Cleared with definition</x:v>
      </x:c>
      <x:c r="C15" s="48" t="str">
        <x:v>Report sponsor-disclosed dividends separately from revenue and EBITDA</x:v>
      </x:c>
      <x:c r="D15" s="48" t="str">
        <x:v>S17</x:v>
      </x:c>
      <x:c r="E15" s="48" t="str">
        <x:v>Treating EBITDA as distributable profit</x:v>
      </x:c>
      <x:c r="F15" s="48" t="str">
        <x:v>Seek project audited accounts where available</x:v>
      </x:c>
      <x:c r="G15" s="48" t="str">
        <x:v>A02</x:v>
      </x:c>
      <x:c r="H15" s="48" t="str">
        <x:v>2026-09-02</x:v>
      </x:c>
      <x:c r="I15" s="48" t="str">
        <x:v>Sponsor filing / refinancing</x:v>
      </x:c>
    </x:row>
    <x:row r="16">
      <x:c r="A16" s="56" t="str">
        <x:v>SH 130 ultimate equity chain</x:v>
      </x:c>
      <x:c r="B16" s="56" t="str">
        <x:v>Unresolved</x:v>
      </x:c>
      <x:c r="C16" s="56" t="str">
        <x:v>Name SH 130 Concession Company, LLC as responsible entity; state ultimate equity is not fully resolved in accessible primary records</x:v>
      </x:c>
      <x:c r="D16" s="56" t="str">
        <x:v>S21–S24</x:v>
      </x:c>
      <x:c r="E16" s="56" t="str">
        <x:v>Inventing a current sponsor chain</x:v>
      </x:c>
      <x:c r="F16" s="56" t="str">
        <x:v>Search court, UCC, lender and beneficial-owner filings</x:v>
      </x:c>
      <x:c r="G16" s="56" t="str">
        <x:v>A02</x:v>
      </x:c>
      <x:c r="H16" s="56" t="str">
        <x:v>2026-09-02</x:v>
      </x:c>
      <x:c r="I16" s="56" t="str">
        <x:v>Ownership disclosure</x:v>
      </x:c>
    </x:row>
    <x:row r="17">
      <x:c r="A17" s="48" t="str">
        <x:v>§284.008 exception</x:v>
      </x:c>
      <x:c r="B17" s="48" t="str">
        <x:v>Project-specific</x:v>
      </x:c>
      <x:c r="C17" s="48" t="str">
        <x:v>Say Harris County has used subsection (d) for identified projects; do not claim every HCTRA road is exempt</x:v>
      </x:c>
      <x:c r="D17" s="48" t="str">
        <x:v>S06–S07</x:v>
      </x:c>
      <x:c r="E17" s="48" t="str">
        <x:v>Blanket legal claim</x:v>
      </x:c>
      <x:c r="F17" s="48" t="str">
        <x:v>Inspect exact 2016 order and project list</x:v>
      </x:c>
      <x:c r="G17" s="48" t="str">
        <x:v>A02</x:v>
      </x:c>
      <x:c r="H17" s="48" t="str">
        <x:v>2026-09-02</x:v>
      </x:c>
      <x:c r="I17" s="48" t="str">
        <x:v>New commission order</x:v>
      </x:c>
    </x:row>
    <x:row r="18">
      <x:c r="A18" s="56" t="str">
        <x:v>Statewide total</x:v>
      </x:c>
      <x:c r="B18" s="56" t="str">
        <x:v>Excluded</x:v>
      </x:c>
      <x:c r="C18" s="56" t="str">
        <x:v>Say “material systems studied,” not “all Texas toll revenue”</x:v>
      </x:c>
      <x:c r="D18" s="56" t="str">
        <x:v>All source matrix</x:v>
      </x:c>
      <x:c r="E18" s="56" t="str">
        <x:v>No defensible statewide denominator across bases and years</x:v>
      </x:c>
      <x:c r="F18" s="56" t="str">
        <x:v>Build a separate statewide census if needed</x:v>
      </x:c>
      <x:c r="G18" s="56" t="str">
        <x:v>A02</x:v>
      </x:c>
      <x:c r="H18" s="56" t="str">
        <x:v>2026-09-02</x:v>
      </x:c>
      <x:c r="I18" s="56" t="str">
        <x:v>Statewide standardized dataset</x:v>
      </x:c>
    </x:row>
    <x:row r="19">
      <x:c r="A19" s="48" t="str">
        <x:v>Map geometry</x:v>
      </x:c>
      <x:c r="B19" s="48" t="str">
        <x:v>Prepared for join</x:v>
      </x:c>
      <x:c r="C19" s="48" t="str">
        <x:v>Use official agency/GIS centerlines; no invented coordinates</x:v>
      </x:c>
      <x:c r="D19" s="48" t="str">
        <x:v>10_Map_Data</x:v>
      </x:c>
      <x:c r="E19" s="48" t="str">
        <x:v>Misplacing managed lanes or mixing SH130 segments</x:v>
      </x:c>
      <x:c r="F19" s="48" t="str">
        <x:v>Acquire official shapefiles before publication map</x:v>
      </x:c>
      <x:c r="G19" s="48" t="str">
        <x:v>A02</x:v>
      </x:c>
      <x:c r="H19" s="48" t="str">
        <x:v>2026-09-02</x:v>
      </x:c>
      <x:c r="I19" s="48" t="str">
        <x:v>Map production</x:v>
      </x:c>
    </x:row>
    <x:row r="20" ht="39.599998474121094" hidden="0" customHeight="1">
      <x:c r="A20" s="522" t="str">
        <x:v>HCTRA sources-and-uses reconciliation</x:v>
      </x:c>
      <x:c r="B20" s="522" t="str">
        <x:v>Qualified — immaterial disclosed difference</x:v>
      </x:c>
      <x:c r="C20" s="522" t="str">
        <x:v>Identified FY2025 cash sources and uses differ by $0.076m because the ACFR lines are presented with rounding and classification limits; do not force the model to zero.</x:v>
      </x:c>
      <x:c r="D20" s="522" t="str">
        <x:v>S05 / 11_Reconciliation</x:v>
      </x:c>
      <x:c r="E20" s="522" t="str">
        <x:v>A false claim of exact cash closure</x:v>
      </x:c>
      <x:c r="F20" s="522" t="str">
        <x:v>Recheck against any machine-readable ledger or detailed proprietary-fund schedule</x:v>
      </x:c>
      <x:c r="G20" s="522" t="str">
        <x:v>A02</x:v>
      </x:c>
      <x:c r="H20" s="522" t="str">
        <x:v>2026-09-02</x:v>
      </x:c>
      <x:c r="I20" s="522" t="str">
        <x:v>Revised ACFR or detailed cash schedule</x:v>
      </x:c>
    </x:row>
  </x:sheetData>
  <x:mergeCells>
    <x:mergeCell ref="A1:I1"/>
    <x:mergeCell ref="A2:I2"/>
  </x:mergeCells>
  <x:conditionalFormatting sqref="B5:B19">
    <x:cfRule type="expression" dxfId="2" priority="1">
      <x:formula>OR(LEFT(B5,7)="Cleared",LEFT(B5,8)="Resolved")</x:formula>
    </x:cfRule>
    <x:cfRule type="expression" dxfId="3" priority="2">
      <x:formula>OR(LEFT(B5,9)="Qualified",LEFT(B5,8)="Not exact",LEFT(B5,4)="Weak",LEFT(B5,10)="Unresolved",LEFT(B5,7)="Project")</x:formula>
    </x:cfRule>
  </x:conditionalFormatting>
  <x:dataValidations count="1">
    <x:dataValidation type="list" sqref="B5:B19">
      <x:formula1>"Cleared,Cleared with note,Qualified,Resolved — narrow title,Not exact,Weak / rounded,Unresolved,Project-specific,Excluded,Prepared for join"</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20" hidden="0" customWidth="1"/>
    <x:col min="5" max="5" width="22" hidden="0" customWidth="1"/>
    <x:col min="6" max="6" width="22" hidden="0" customWidth="1"/>
    <x:col min="7" max="7" width="18" hidden="0" customWidth="1"/>
    <x:col min="8" max="8" width="18" hidden="0" customWidth="1"/>
  </x:cols>
  <x:sheetData>
    <x:row r="1" ht="15" hidden="0" customHeight="1">
      <x:c r="A1" s="527" t="str">
        <x:v>A02 Web-Publication Data and Claim Controls</x:v>
      </x:c>
      <x:c r="B1" s="527"/>
      <x:c r="C1" s="527"/>
      <x:c r="D1" s="527"/>
      <x:c r="E1" s="527"/>
      <x:c r="F1" s="527"/>
      <x:c r="G1" s="527"/>
      <x:c r="H1" s="527"/>
    </x:row>
    <x:row r="2" ht="39.599998474121094" hidden="0" customHeight="1">
      <x:c r="A2" s="530" t="str">
        <x:v>Use the normalized chart only for CTTS and Grand Parkway. HCTRA uses multiple cash sources; NTTA uses a different Trust-revenue denominator. Unavailable values are not zero.</x:v>
      </x:c>
      <x:c r="B2" s="530"/>
      <x:c r="C2" s="530"/>
      <x:c r="D2" s="530"/>
      <x:c r="E2" s="530"/>
      <x:c r="F2" s="530"/>
      <x:c r="G2" s="530"/>
      <x:c r="H2" s="530"/>
    </x:row>
    <x:row r="3" ht="15" hidden="0" customHeight="1">
      <x:c r="A3" s="522"/>
      <x:c r="B3" s="522"/>
      <x:c r="C3" s="522"/>
      <x:c r="D3" s="522"/>
      <x:c r="E3" s="522"/>
      <x:c r="F3" s="522"/>
      <x:c r="G3" s="522"/>
      <x:c r="H3" s="522"/>
    </x:row>
    <x:row r="4" ht="39.599998474121094" hidden="0" customHeight="1">
      <x:c r="A4" s="527" t="str">
        <x:v>System</x:v>
      </x:c>
      <x:c r="B4" s="527" t="str">
        <x:v>Revenue base ($mm)</x:v>
      </x:c>
      <x:c r="C4" s="527" t="str">
        <x:v>Operations / $100</x:v>
      </x:c>
      <x:c r="D4" s="527" t="str">
        <x:v>Maintenance / $100</x:v>
      </x:c>
      <x:c r="E4" s="527" t="str">
        <x:v>Debt service / $100</x:v>
      </x:c>
      <x:c r="F4" s="527" t="str">
        <x:v>Required reserve / $100</x:v>
      </x:c>
      <x:c r="G4" s="522"/>
      <x:c r="H4" s="522"/>
    </x:row>
    <x:row r="5" ht="52.79999923706055" hidden="0" customHeight="1">
      <x:c r="A5" s="522" t="str">
        <x:v>Central Texas Turnpike System</x:v>
      </x:c>
      <x:c r="B5" s="536" t="n">
        <x:v>337.64</x:v>
      </x:c>
      <x:c r="C5" s="537" t="n">
        <x:v>30.1711882478</x:v>
      </x:c>
      <x:c r="D5" s="537" t="n">
        <x:v>19.2927378273</x:v>
      </x:c>
      <x:c r="E5" s="537" t="n">
        <x:v>47.4884492359</x:v>
      </x:c>
      <x:c r="F5" s="537" t="n">
        <x:v>3.047624689</x:v>
      </x:c>
      <x:c r="G5" s="522"/>
      <x:c r="H5" s="522"/>
    </x:row>
    <x:row r="6" ht="39.599998474121094" hidden="0" customHeight="1">
      <x:c r="A6" s="522" t="str">
        <x:v>Grand Parkway System</x:v>
      </x:c>
      <x:c r="B6" s="536" t="n">
        <x:v>393.32</x:v>
      </x:c>
      <x:c r="C6" s="537" t="n">
        <x:v>15.0284755415</x:v>
      </x:c>
      <x:c r="D6" s="537" t="n">
        <x:v>4.823044849</x:v>
      </x:c>
      <x:c r="E6" s="537" t="n">
        <x:v>44.5896471067</x:v>
      </x:c>
      <x:c r="F6" s="537" t="n">
        <x:v>35.5588325028</x:v>
      </x:c>
      <x:c r="G6" s="522"/>
      <x:c r="H6" s="522"/>
    </x:row>
    <x:row r="7" ht="15" hidden="0" customHeight="1">
      <x:c r="A7" s="522"/>
      <x:c r="B7" s="522"/>
      <x:c r="C7" s="522"/>
      <x:c r="D7" s="522"/>
      <x:c r="E7" s="522"/>
      <x:c r="F7" s="522"/>
      <x:c r="G7" s="522"/>
      <x:c r="H7" s="522"/>
    </x:row>
    <x:row r="8" ht="26.399999618530273" hidden="0" customHeight="1">
      <x:c r="A8" s="533" t="str">
        <x:v>Check</x:v>
      </x:c>
      <x:c r="B8" s="533"/>
      <x:c r="C8" s="533"/>
      <x:c r="D8" s="533"/>
      <x:c r="E8" s="533"/>
      <x:c r="F8" s="533" t="str">
        <x:v>Total / $100</x:v>
      </x:c>
      <x:c r="G8" s="522"/>
      <x:c r="H8" s="522"/>
    </x:row>
    <x:row r="9" ht="15" hidden="0" customHeight="1">
      <x:c r="A9" s="522" t="str">
        <x:v>CTTS</x:v>
      </x:c>
      <x:c r="B9" s="522"/>
      <x:c r="C9" s="522"/>
      <x:c r="D9" s="522"/>
      <x:c r="E9" s="522"/>
      <x:c r="F9" s="537" t="n">
        <x:f>SUM(C5:F5)</x:f>
        <x:v>100</x:v>
      </x:c>
      <x:c r="G9" s="522"/>
      <x:c r="H9" s="522"/>
    </x:row>
    <x:row r="10" ht="26.399999618530273" hidden="0" customHeight="1">
      <x:c r="A10" s="522" t="str">
        <x:v>Grand Parkway</x:v>
      </x:c>
      <x:c r="B10" s="522"/>
      <x:c r="C10" s="522"/>
      <x:c r="D10" s="522"/>
      <x:c r="E10" s="522"/>
      <x:c r="F10" s="537" t="n">
        <x:f>SUM(C6:F6)</x:f>
        <x:v>100</x:v>
      </x:c>
      <x:c r="G10" s="522"/>
      <x:c r="H10" s="522"/>
    </x:row>
    <x:row r="11" ht="15" hidden="0" customHeight="1">
      <x:c r="A11" s="522"/>
      <x:c r="B11" s="522"/>
      <x:c r="C11" s="522"/>
      <x:c r="D11" s="522"/>
      <x:c r="E11" s="522"/>
      <x:c r="F11" s="522"/>
      <x:c r="G11" s="522"/>
      <x:c r="H11" s="522"/>
    </x:row>
    <x:row r="12" ht="15" hidden="0" customHeight="1">
      <x:c r="A12" s="522"/>
      <x:c r="B12" s="522"/>
      <x:c r="C12" s="522"/>
      <x:c r="D12" s="522"/>
      <x:c r="E12" s="522"/>
      <x:c r="F12" s="522"/>
      <x:c r="G12" s="522"/>
      <x:c r="H12" s="522"/>
    </x:row>
    <x:row r="13" ht="66" hidden="0" customHeight="1">
      <x:c r="A13" s="527" t="str">
        <x:v>HCTRA FY2025 selected cash activity</x:v>
      </x:c>
      <x:c r="B13" s="527" t="str">
        <x:v>Amount ($mm)</x:v>
      </x:c>
      <x:c r="C13" s="527" t="str">
        <x:v>Per $100 of toll revenue</x:v>
      </x:c>
      <x:c r="D13" s="527" t="str">
        <x:v>Interpretation</x:v>
      </x:c>
      <x:c r="E13" s="522"/>
      <x:c r="F13" s="522"/>
      <x:c r="G13" s="522"/>
      <x:c r="H13" s="522"/>
    </x:row>
    <x:row r="14" ht="92.4000015258789" hidden="0" customHeight="1">
      <x:c r="A14" s="522" t="str">
        <x:v>Customer cash receipts</x:v>
      </x:c>
      <x:c r="B14" s="536" t="n">
        <x:v>995.7</x:v>
      </x:c>
      <x:c r="C14" s="537" t="n">
        <x:v>96.8947061113</x:v>
      </x:c>
      <x:c r="D14" s="522" t="str">
        <x:v>Cash source; not identical to accrual toll revenue</x:v>
      </x:c>
      <x:c r="E14" s="522"/>
      <x:c r="F14" s="522"/>
      <x:c r="G14" s="522"/>
      <x:c r="H14" s="522"/>
    </x:row>
    <x:row r="15" ht="52.79999923706055" hidden="0" customHeight="1">
      <x:c r="A15" s="522" t="str">
        <x:v>Employee + vendor cash payments</x:v>
      </x:c>
      <x:c r="B15" s="536" t="n">
        <x:v>404.8</x:v>
      </x:c>
      <x:c r="C15" s="537" t="n">
        <x:v>39.3927598287</x:v>
      </x:c>
      <x:c r="D15" s="522" t="str">
        <x:v>Cash operating use</x:v>
      </x:c>
      <x:c r="E15" s="522"/>
      <x:c r="F15" s="522"/>
      <x:c r="G15" s="522"/>
      <x:c r="H15" s="522"/>
    </x:row>
    <x:row r="16" ht="92.4000015258789" hidden="0" customHeight="1">
      <x:c r="A16" s="522" t="str">
        <x:v>Bond principal + interest</x:v>
      </x:c>
      <x:c r="B16" s="536" t="n">
        <x:v>242</x:v>
      </x:c>
      <x:c r="C16" s="537" t="n">
        <x:v>23.550019463</x:v>
      </x:c>
      <x:c r="D16" s="522" t="str">
        <x:v>Cash financing use; principal is not accounting expense</x:v>
      </x:c>
      <x:c r="E16" s="522"/>
      <x:c r="F16" s="522"/>
      <x:c r="G16" s="522"/>
      <x:c r="H16" s="522"/>
    </x:row>
    <x:row r="17" ht="92.4000015258789" hidden="0" customHeight="1">
      <x:c r="A17" s="522" t="str">
        <x:v>Capital purchases</x:v>
      </x:c>
      <x:c r="B17" s="536" t="n">
        <x:v>315.3</x:v>
      </x:c>
      <x:c r="C17" s="537" t="n">
        <x:v>30.6821720514</x:v>
      </x:c>
      <x:c r="D17" s="522" t="str">
        <x:v>May draw on current receipts, old cash, investments, or borrowing</x:v>
      </x:c>
      <x:c r="E17" s="522"/>
      <x:c r="F17" s="522"/>
      <x:c r="G17" s="522"/>
      <x:c r="H17" s="522"/>
    </x:row>
    <x:row r="18" ht="92.4000015258789" hidden="0" customHeight="1">
      <x:c r="A18" s="522" t="str">
        <x:v>County mobility transfer</x:v>
      </x:c>
      <x:c r="B18" s="536" t="n">
        <x:v>398.6</x:v>
      </x:c>
      <x:c r="C18" s="537" t="n">
        <x:v>38.7903853639</x:v>
      </x:c>
      <x:c r="D18" s="522" t="str">
        <x:v>Public transportation transfer; not a private dividend</x:v>
      </x:c>
      <x:c r="E18" s="522"/>
      <x:c r="F18" s="522"/>
      <x:c r="G18" s="522"/>
      <x:c r="H18" s="522"/>
    </x:row>
    <x:row r="19" ht="132" hidden="0" customHeight="1">
      <x:c r="A19" s="522" t="str">
        <x:v>Selected uses shown</x:v>
      </x:c>
      <x:c r="B19" s="536" t="n">
        <x:v>1360.7</x:v>
      </x:c>
      <x:c r="C19" s="537" t="n">
        <x:v>132.4153367079</x:v>
      </x:c>
      <x:c r="D19" s="522" t="str">
        <x:v>Not additive to a $100 waterfall because other funding sources supported FY2025</x:v>
      </x:c>
      <x:c r="E19" s="522"/>
      <x:c r="F19" s="522"/>
      <x:c r="G19" s="522"/>
      <x:c r="H19" s="522"/>
    </x:row>
    <x:row r="20" ht="15" hidden="0" customHeight="1">
      <x:c r="A20" s="522"/>
      <x:c r="B20" s="522"/>
      <x:c r="C20" s="522"/>
      <x:c r="D20" s="522"/>
      <x:c r="E20" s="522"/>
      <x:c r="F20" s="522"/>
      <x:c r="G20" s="522"/>
      <x:c r="H20" s="522"/>
    </x:row>
    <x:row r="21" ht="15" hidden="0" customHeight="1">
      <x:c r="A21" s="522"/>
      <x:c r="B21" s="522"/>
      <x:c r="C21" s="522"/>
      <x:c r="D21" s="522"/>
      <x:c r="E21" s="522"/>
      <x:c r="F21" s="522"/>
      <x:c r="G21" s="522"/>
      <x:c r="H21" s="522"/>
    </x:row>
    <x:row r="22" ht="26.399999618530273" hidden="0" customHeight="1">
      <x:c r="A22" s="527" t="str">
        <x:v>Claim</x:v>
      </x:c>
      <x:c r="B22" s="527" t="str">
        <x:v>Publication wording</x:v>
      </x:c>
      <x:c r="C22" s="527" t="str">
        <x:v>Status</x:v>
      </x:c>
      <x:c r="D22" s="527" t="str">
        <x:v>Source ID</x:v>
      </x:c>
      <x:c r="E22" s="527" t="str">
        <x:v>Open follow-up</x:v>
      </x:c>
      <x:c r="F22" s="522"/>
      <x:c r="G22" s="522"/>
      <x:c r="H22" s="522"/>
    </x:row>
    <x:row r="23" ht="171.60000610351562" hidden="0" customHeight="1">
      <x:c r="A23" s="522" t="str">
        <x:v>SH 288 termination</x:v>
      </x:c>
      <x:c r="B23" s="522" t="str">
        <x:v>Texas paid $1,731,730,721, less permitted adjustments, to terminate private concession rights; tolling continued publicly.</x:v>
      </x:c>
      <x:c r="C23" s="522" t="str">
        <x:v>Cleared</x:v>
      </x:c>
      <x:c r="D23" s="522" t="str">
        <x:v>S13–S16</x:v>
      </x:c>
      <x:c r="E23" s="522" t="str">
        <x:v>Track final transaction adjustments and TTFC financing</x:v>
      </x:c>
      <x:c r="F23" s="522"/>
      <x:c r="G23" s="522"/>
      <x:c r="H23" s="522"/>
    </x:row>
    <x:row r="24" ht="224.39999389648438" hidden="0" customHeight="1">
      <x:c r="A24" s="522" t="str">
        <x:v>NTTA residual</x:v>
      </x:c>
      <x:c r="B24" s="522" t="str">
        <x:v>The $438.0m / $32.26 per $100 amount is an algebraic unallocated residual, not a named reserve, capital deposit, profit, or unrestricted cash.</x:v>
      </x:c>
      <x:c r="C24" s="522" t="str">
        <x:v>Cleared with note</x:v>
      </x:c>
      <x:c r="D24" s="522" t="str">
        <x:v>S03–S04</x:v>
      </x:c>
      <x:c r="E24" s="522" t="str">
        <x:v>Keep qualification beside every reuse</x:v>
      </x:c>
      <x:c r="F24" s="522"/>
      <x:c r="G24" s="522"/>
      <x:c r="H24" s="522"/>
    </x:row>
    <x:row r="25" ht="118.80000305175781" hidden="0" customHeight="1">
      <x:c r="A25" s="522" t="str">
        <x:v>HCTRA transfer</x:v>
      </x:c>
      <x:c r="B25" s="522" t="str">
        <x:v>$398.6m transferred to the county mobility/thoroughfare program in FY2025.</x:v>
      </x:c>
      <x:c r="C25" s="522" t="str">
        <x:v>Cleared</x:v>
      </x:c>
      <x:c r="D25" s="522" t="str">
        <x:v>S05–S06</x:v>
      </x:c>
      <x:c r="E25" s="522" t="str">
        <x:v>Pin exact Commissioners Court action before broader legal claims</x:v>
      </x:c>
      <x:c r="F25" s="522"/>
      <x:c r="G25" s="522"/>
      <x:c r="H25" s="522"/>
    </x:row>
    <x:row r="26" ht="132" hidden="0" customHeight="1">
      <x:c r="A26" s="522" t="str">
        <x:v>CTRMA normalized split</x:v>
      </x:c>
      <x:c r="B26" s="522" t="str">
        <x:v>Unavailable; audit and monthly categories do not bridge without assumptions.</x:v>
      </x:c>
      <x:c r="C26" s="522" t="str">
        <x:v>Open</x:v>
      </x:c>
      <x:c r="D26" s="522" t="str">
        <x:v>S08–S10</x:v>
      </x:c>
      <x:c r="E26" s="522" t="str">
        <x:v>Build source-to-source bridge</x:v>
      </x:c>
      <x:c r="F26" s="522"/>
      <x:c r="G26" s="522"/>
      <x:c r="H26" s="522"/>
    </x:row>
    <x:row r="27" ht="158.39999389648438" hidden="0" customHeight="1">
      <x:c r="A27" s="522" t="str">
        <x:v>SH 130 equity chain</x:v>
      </x:c>
      <x:c r="B27" s="522" t="str">
        <x:v>Current concession entity verified; ultimate equity ownership unresolved in accessible primary records.</x:v>
      </x:c>
      <x:c r="C27" s="522" t="str">
        <x:v>Open</x:v>
      </x:c>
      <x:c r="D27" s="522" t="str">
        <x:v>S21–S24</x:v>
      </x:c>
      <x:c r="E27" s="522" t="str">
        <x:v>Do not reuse pre-bankruptcy sponsor names</x:v>
      </x:c>
      <x:c r="F27" s="522"/>
      <x:c r="G27" s="522"/>
      <x:c r="H27" s="522"/>
    </x:row>
    <x:row r="28" ht="171.60000610351562" hidden="0" customHeight="1">
      <x:c r="A28" s="522" t="str">
        <x:v>County toll-removal exception</x:v>
      </x:c>
      <x:c r="B28" s="522" t="str">
        <x:v>The 2016 agenda proves a Harris County request under §284.008(d), not the final order or every affected facility.</x:v>
      </x:c>
      <x:c r="C28" s="522" t="str">
        <x:v>Qualified</x:v>
      </x:c>
      <x:c r="D28" s="522" t="str">
        <x:v>S06–S07</x:v>
      </x:c>
      <x:c r="E28" s="522" t="str">
        <x:v>Locate final order and project list</x:v>
      </x:c>
      <x:c r="F28" s="522"/>
      <x:c r="G28" s="522"/>
      <x:c r="H28" s="522"/>
    </x:row>
    <x:row r="29" ht="171.60000610351562" hidden="0" customHeight="1">
      <x:c r="A29" s="522" t="str">
        <x:v>Private distributions</x:v>
      </x:c>
      <x:c r="B29" s="522" t="str">
        <x:v>Keep 100% project-company dividends, Ferrovial's share, and TxDOT payments in separate denominators.</x:v>
      </x:c>
      <x:c r="C29" s="522" t="str">
        <x:v>Cleared</x:v>
      </x:c>
      <x:c r="D29" s="522" t="str">
        <x:v>S17</x:v>
      </x:c>
      <x:c r="E29" s="522" t="str">
        <x:v>Refresh with next sponsor filing</x:v>
      </x:c>
      <x:c r="F29" s="522"/>
      <x:c r="G29" s="522"/>
      <x:c r="H29" s="522"/>
    </x:row>
    <x:row r="30" ht="15" hidden="0" customHeight="1">
      <x:c r="A30" s="522"/>
      <x:c r="B30" s="522"/>
      <x:c r="C30" s="522"/>
      <x:c r="D30" s="522"/>
      <x:c r="E30" s="522"/>
      <x:c r="F30" s="522"/>
      <x:c r="G30" s="522"/>
      <x:c r="H30" s="522"/>
    </x:row>
  </x:sheetData>
  <x:mergeCells>
    <x:mergeCell ref="A1:H1"/>
    <x:mergeCell ref="A2:H2"/>
  </x:mergeCells>
  <x:pageMargins left="0.7" right="0.7" top="0.75" bottom="0.75" header="0.3" footer="0.3"/>
  <x:drawing xmlns:r="http://schemas.openxmlformats.org/officeDocument/2006/relationships" r:id="Radf6c4a214cc4e7d"/>
</x:worksheet>
</file>