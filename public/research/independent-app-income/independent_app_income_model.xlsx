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98f3df9b9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ff4f198065f4aad"/>
    <x:sheet xmlns:r="http://schemas.openxmlformats.org/officeDocument/2006/relationships" name="Denominator Model" sheetId="2" r:id="R262d9990b643440a"/>
    <x:sheet xmlns:r="http://schemas.openxmlformats.org/officeDocument/2006/relationships" name="Executive Estimates" sheetId="3" r:id="R022e70dcd7454849"/>
    <x:sheet xmlns:r="http://schemas.openxmlformats.org/officeDocument/2006/relationships" name="Definitions" sheetId="4" r:id="R91cd93781c374651"/>
    <x:sheet xmlns:r="http://schemas.openxmlformats.org/officeDocument/2006/relationships" name="Thresholds" sheetId="5" r:id="R524b9c643f3a453c"/>
    <x:sheet xmlns:r="http://schemas.openxmlformats.org/officeDocument/2006/relationships" name="Revenue Bands" sheetId="6" r:id="R46deb0545ac94433"/>
    <x:sheet xmlns:r="http://schemas.openxmlformats.org/officeDocument/2006/relationships" name="Portfolio Model" sheetId="7" r:id="Rfcc470c0a18140a2"/>
    <x:sheet xmlns:r="http://schemas.openxmlformats.org/officeDocument/2006/relationships" name="Unit Economics" sheetId="8" r:id="R0767d8597a7642b1"/>
    <x:sheet xmlns:r="http://schemas.openxmlformats.org/officeDocument/2006/relationships" name="Cases" sheetId="9" r:id="R352023cea5f3467b"/>
    <x:sheet xmlns:r="http://schemas.openxmlformats.org/officeDocument/2006/relationships" name="Evidence Classes" sheetId="10" r:id="R1149e8cc8e214929"/>
    <x:sheet xmlns:r="http://schemas.openxmlformats.org/officeDocument/2006/relationships" name="Sources" sheetId="11" r:id="Rfeea0a4075734dae"/>
    <x:sheet xmlns:r="http://schemas.openxmlformats.org/officeDocument/2006/relationships" name="Claim Ledger" sheetId="12" r:id="R9d05320ae15b4441"/>
    <x:sheet xmlns:r="http://schemas.openxmlformats.org/officeDocument/2006/relationships" name="Sensitivity" sheetId="13" r:id="Rf1041892c7404799"/>
    <x:sheet xmlns:r="http://schemas.openxmlformats.org/officeDocument/2006/relationships" name="Replacement Income" sheetId="14" r:id="R8d8ce4734355413c"/>
    <x:sheet xmlns:r="http://schemas.openxmlformats.org/officeDocument/2006/relationships" name="Model Assumptions" sheetId="15" r:id="R2dde7a5488374d79"/>
    <x:sheet xmlns:r="http://schemas.openxmlformats.org/officeDocument/2006/relationships" name="Quality Rubric" sheetId="16" r:id="R84b58f2b0687484e"/>
    <x:sheet xmlns:r="http://schemas.openxmlformats.org/officeDocument/2006/relationships" name="Chart Data" sheetId="17" r:id="R2bbd7b40414d4c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[Red](0.0%);-"/>
    <x:numFmt numFmtId="201" formatCode="0.00%;[Red](0.00%);-"/>
    <x:numFmt numFmtId="202" formatCode="#,##0.00;[Red](#,##0.00);-"/>
    <x:numFmt numFmtId="203" formatCode="$#,##0;[Red]($#,##0);-"/>
    <x:numFmt numFmtId="204" formatCode="#,##0;[Red](#,##0);-"/>
  </x:numFmts>
  <x:fonts count="20">
    <x:font>
      <x:sz val="11"/>
      <x:name val="Carlito"/>
    </x:font>
    <x:font>
      <x:b/>
      <x:sz val="18"/>
      <x:color rgb="FFFFFFFF"/>
      <x:name val="Carlito"/>
    </x:font>
    <x:font>
      <x:i/>
      <x:sz val="9"/>
      <x:color rgb="FF566573"/>
      <x:name val="Carlito"/>
    </x:font>
    <x:font>
      <x:b/>
      <x:sz val="11"/>
      <x:color rgb="FFFFFFFF"/>
      <x:name val="Carlito"/>
    </x:font>
    <x:font>
      <x:b/>
      <x:sz val="12"/>
      <x:color rgb="FF15243A"/>
      <x:name val="Carlito"/>
    </x:font>
    <x:font>
      <x:b/>
      <x:sz val="9"/>
      <x:color rgb="FFFFFFFF"/>
      <x:name val="Carlito"/>
    </x:font>
    <x:font>
      <x:sz val="9"/>
      <x:color rgb="FF17202A"/>
      <x:name val="Carlito"/>
    </x:font>
    <x:font>
      <x:b/>
      <x:sz val="9"/>
      <x:color rgb="FF0000FF"/>
      <x:name val="Carlito"/>
    </x:font>
    <x:font>
      <x:b/>
      <x:sz val="9"/>
      <x:color rgb="FF000000"/>
      <x:name val="Carlito"/>
    </x:font>
    <x:font>
      <x:b/>
      <x:sz val="9"/>
      <x:color rgb="FF008000"/>
      <x:name val="Carlito"/>
    </x:font>
    <x:font>
      <x:b/>
      <x:sz val="10"/>
      <x:color rgb="FFFFFFFF"/>
      <x:name val="Carlito"/>
    </x:font>
    <x:font>
      <x:sz val="8"/>
      <x:color rgb="FF17202A"/>
      <x:name val="Carlito"/>
    </x:font>
    <x:font>
      <x:sz val="8"/>
      <x:color rgb="FF0000FF"/>
      <x:name val="Carlito"/>
    </x:font>
    <x:font>
      <x:sz val="9"/>
      <x:color rgb="FF0000FF"/>
      <x:name val="Carlito"/>
    </x:font>
    <x:font>
      <x:sz val="9"/>
      <x:color rgb="FF000000"/>
      <x:name val="Carlito"/>
    </x:font>
    <x:font>
      <x:sz val="9"/>
      <x:color rgb="FF008000"/>
      <x:name val="Carlito"/>
    </x:font>
    <x:font>
      <x:b/>
      <x:sz val="9"/>
      <x:color rgb="FF15243A"/>
      <x:name val="Carlito"/>
    </x:font>
    <x:font>
      <x:sz val="8"/>
      <x:color rgb="FF000000"/>
      <x:name val="Carlito"/>
    </x:font>
    <x:font>
      <x:sz val="7"/>
      <x:color rgb="FF17202A"/>
      <x:name val="Carlito"/>
    </x:font>
    <x:font>
      <x:sz val="8"/>
      <x:color rgb="FF2F5D8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243A"/>
      </x:patternFill>
    </x:fill>
    <x:fill>
      <x:patternFill patternType="solid">
        <x:fgColor rgb="FFEAF1F8"/>
      </x:patternFill>
    </x:fill>
    <x:fill>
      <x:patternFill patternType="solid">
        <x:fgColor rgb="FF2F5D8A"/>
      </x:patternFill>
    </x:fill>
    <x:fill>
      <x:patternFill patternType="solid">
        <x:fgColor rgb="FFFFF2CC"/>
      </x:patternFill>
    </x:fill>
    <x:fill>
      <x:patternFill patternType="solid">
        <x:fgColor rgb="FFFFF4E6"/>
      </x:patternFill>
    </x:fill>
    <x:fill>
      <x:patternFill patternType="solid">
        <x:fgColor rgb="FFF4F6F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3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2" xfId="0" applyNumberFormat="1" applyFont="1" applyFill="1" applyBorder="1"/>
    <x:xf numFmtId="0" fontId="11" fillId="0" borderId="14" xfId="0" applyNumberFormat="1" applyFont="1" applyFill="1" applyBorder="1"/>
    <x:xf numFmtId="0" fontId="11" fillId="0" borderId="3" xfId="0" applyNumberFormat="1" applyFont="1" applyFill="1" applyBorder="1"/>
    <x:xf numFmtId="0" fontId="11" fillId="0" borderId="4" xfId="0" applyNumberFormat="1" applyFont="1" applyFill="1" applyBorder="1"/>
    <x:xf numFmtId="0" fontId="11" fillId="0" borderId="5" xfId="0" applyNumberFormat="1" applyFont="1" applyFill="1" applyBorder="1"/>
    <x:xf numFmtId="0" fontId="11" fillId="0" borderId="6" xfId="0" applyNumberFormat="1" applyFont="1" applyFill="1" applyBorder="1"/>
    <x:xf numFmtId="0" fontId="11" fillId="0" borderId="15" xfId="0" applyNumberFormat="1" applyFont="1" applyFill="1" applyBorder="1"/>
    <x:xf numFmtId="0" fontId="11" fillId="0" borderId="7" xfId="0" applyNumberFormat="1" applyFont="1" applyFill="1" applyBorder="1"/>
    <x:xf numFmtId="0" fontId="11" fillId="0" borderId="2" xfId="0" applyNumberFormat="1" applyFont="1" applyFill="1" applyBorder="1" applyAlignment="1">
      <x:alignment wrapText="1"/>
    </x:xf>
    <x:xf numFmtId="0" fontId="11" fillId="0" borderId="14" xfId="0" applyNumberFormat="1" applyFont="1" applyFill="1" applyBorder="1" applyAlignment="1">
      <x:alignment wrapText="1"/>
    </x:xf>
    <x:xf numFmtId="0" fontId="11" fillId="0" borderId="3" xfId="0" applyNumberFormat="1" applyFont="1" applyFill="1" applyBorder="1" applyAlignment="1">
      <x:alignment wrapText="1"/>
    </x:xf>
    <x:xf numFmtId="0" fontId="11" fillId="0" borderId="4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1" fillId="0" borderId="5" xfId="0" applyNumberFormat="1" applyFont="1" applyFill="1" applyBorder="1" applyAlignment="1">
      <x:alignment wrapText="1"/>
    </x:xf>
    <x:xf numFmtId="0" fontId="11" fillId="0" borderId="6" xfId="0" applyNumberFormat="1" applyFont="1" applyFill="1" applyBorder="1" applyAlignment="1">
      <x:alignment wrapText="1"/>
    </x:xf>
    <x:xf numFmtId="0" fontId="11" fillId="0" borderId="15" xfId="0" applyNumberFormat="1" applyFont="1" applyFill="1" applyBorder="1" applyAlignment="1">
      <x:alignment wrapText="1"/>
    </x:xf>
    <x:xf numFmtId="0" fontId="11" fillId="0" borderId="7" xfId="0" applyNumberFormat="1" applyFont="1" applyFill="1" applyBorder="1" applyAlignment="1">
      <x:alignment wrapText="1"/>
    </x:xf>
    <x:xf numFmtId="0" fontId="11" fillId="0" borderId="2" xfId="0" applyNumberFormat="1" applyFont="1" applyFill="1" applyBorder="1" applyAlignment="1">
      <x:alignment vertical="top" wrapText="1"/>
    </x:xf>
    <x:xf numFmtId="0" fontId="11" fillId="0" borderId="14" xfId="0" applyNumberFormat="1" applyFont="1" applyFill="1" applyBorder="1" applyAlignment="1">
      <x:alignment vertical="top" wrapText="1"/>
    </x:xf>
    <x:xf numFmtId="0" fontId="11" fillId="0" borderId="3" xfId="0" applyNumberFormat="1" applyFont="1" applyFill="1" applyBorder="1" applyAlignment="1">
      <x:alignment vertical="top" wrapText="1"/>
    </x:xf>
    <x:xf numFmtId="0" fontId="11" fillId="0" borderId="4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11" fillId="0" borderId="6" xfId="0" applyNumberFormat="1" applyFont="1" applyFill="1" applyBorder="1" applyAlignment="1">
      <x:alignment vertical="top" wrapText="1"/>
    </x:xf>
    <x:xf numFmtId="0" fontId="11" fillId="0" borderId="15" xfId="0" applyNumberFormat="1" applyFont="1" applyFill="1" applyBorder="1" applyAlignment="1">
      <x:alignment vertical="top" wrapText="1"/>
    </x:xf>
    <x:xf numFmtId="0" fontId="11" fillId="0" borderId="7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/>
    <x:xf numFmtId="0" fontId="11" fillId="0" borderId="8" xfId="0" applyNumberFormat="1" applyFont="1" applyFill="1" applyBorder="1"/>
    <x:xf numFmtId="0" fontId="11" fillId="0" borderId="16" xfId="0" applyNumberFormat="1" applyFont="1" applyFill="1" applyBorder="1"/>
    <x:xf numFmtId="0" fontId="11" fillId="0" borderId="9" xfId="0" applyNumberFormat="1" applyFont="1" applyFill="1" applyBorder="1"/>
    <x:xf numFmtId="0" fontId="11" fillId="0" borderId="10" xfId="0" applyNumberFormat="1" applyFont="1" applyFill="1" applyBorder="1"/>
    <x:xf numFmtId="0" fontId="11" fillId="0" borderId="11" xfId="0" applyNumberFormat="1" applyFont="1" applyFill="1" applyBorder="1"/>
    <x:xf numFmtId="0" fontId="11" fillId="0" borderId="12" xfId="0" applyNumberFormat="1" applyFont="1" applyFill="1" applyBorder="1"/>
    <x:xf numFmtId="0" fontId="11" fillId="0" borderId="17" xfId="0" applyNumberFormat="1" applyFont="1" applyFill="1" applyBorder="1"/>
    <x:xf numFmtId="0" fontId="11" fillId="0" borderId="13" xfId="0" applyNumberFormat="1" applyFont="1" applyFill="1" applyBorder="1"/>
    <x:xf numFmtId="0" fontId="11" fillId="0" borderId="8" xfId="0" applyNumberFormat="1" applyFont="1" applyFill="1" applyBorder="1" applyAlignment="1">
      <x:alignment wrapText="1"/>
    </x:xf>
    <x:xf numFmtId="0" fontId="11" fillId="0" borderId="16" xfId="0" applyNumberFormat="1" applyFont="1" applyFill="1" applyBorder="1" applyAlignment="1">
      <x:alignment wrapText="1"/>
    </x:xf>
    <x:xf numFmtId="0" fontId="11" fillId="0" borderId="9" xfId="0" applyNumberFormat="1" applyFont="1" applyFill="1" applyBorder="1" applyAlignment="1">
      <x:alignment wrapText="1"/>
    </x:xf>
    <x:xf numFmtId="0" fontId="11" fillId="0" borderId="10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1" fillId="0" borderId="11" xfId="0" applyNumberFormat="1" applyFont="1" applyFill="1" applyBorder="1" applyAlignment="1">
      <x:alignment wrapText="1"/>
    </x:xf>
    <x:xf numFmtId="0" fontId="11" fillId="0" borderId="12" xfId="0" applyNumberFormat="1" applyFont="1" applyFill="1" applyBorder="1" applyAlignment="1">
      <x:alignment wrapText="1"/>
    </x:xf>
    <x:xf numFmtId="0" fontId="11" fillId="0" borderId="17" xfId="0" applyNumberFormat="1" applyFont="1" applyFill="1" applyBorder="1" applyAlignment="1">
      <x:alignment wrapText="1"/>
    </x:xf>
    <x:xf numFmtId="0" fontId="11" fillId="0" borderId="13" xfId="0" applyNumberFormat="1" applyFont="1" applyFill="1" applyBorder="1" applyAlignment="1">
      <x:alignment wrapText="1"/>
    </x:xf>
    <x:xf numFmtId="0" fontId="11" fillId="0" borderId="8" xfId="0" applyNumberFormat="1" applyFont="1" applyFill="1" applyBorder="1" applyAlignment="1">
      <x:alignment vertical="top" wrapText="1"/>
    </x:xf>
    <x:xf numFmtId="0" fontId="11" fillId="0" borderId="16" xfId="0" applyNumberFormat="1" applyFont="1" applyFill="1" applyBorder="1" applyAlignment="1">
      <x:alignment vertical="top" wrapText="1"/>
    </x:xf>
    <x:xf numFmtId="0" fontId="11" fillId="0" borderId="9" xfId="0" applyNumberFormat="1" applyFont="1" applyFill="1" applyBorder="1" applyAlignment="1">
      <x:alignment vertical="top" wrapText="1"/>
    </x:xf>
    <x:xf numFmtId="0" fontId="11" fillId="0" borderId="10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0" borderId="11" xfId="0" applyNumberFormat="1" applyFont="1" applyFill="1" applyBorder="1" applyAlignment="1">
      <x:alignment vertical="top" wrapText="1"/>
    </x:xf>
    <x:xf numFmtId="0" fontId="11" fillId="0" borderId="12" xfId="0" applyNumberFormat="1" applyFont="1" applyFill="1" applyBorder="1" applyAlignment="1">
      <x:alignment vertical="top" wrapText="1"/>
    </x:xf>
    <x:xf numFmtId="0" fontId="11" fillId="0" borderId="17" xfId="0" applyNumberFormat="1" applyFont="1" applyFill="1" applyBorder="1" applyAlignment="1">
      <x:alignment vertical="top" wrapText="1"/>
    </x:xf>
    <x:xf numFmtId="0" fontId="11" fillId="0" borderId="13" xfId="0" applyNumberFormat="1" applyFont="1" applyFill="1" applyBorder="1" applyAlignment="1">
      <x:alignment vertical="top" wrapText="1"/>
    </x:xf>
    <x:xf numFmtId="200" fontId="11" fillId="0" borderId="14" xfId="0" applyNumberFormat="1" applyFont="1" applyFill="1" applyBorder="1" applyAlignment="1">
      <x:alignment vertical="top" wrapText="1"/>
    </x:xf>
    <x:xf numFmtId="200" fontId="11" fillId="0" borderId="0" xfId="0" applyNumberFormat="1" applyFont="1" applyFill="1" applyBorder="1" applyAlignment="1">
      <x:alignment vertical="top" wrapText="1"/>
    </x:xf>
    <x:xf numFmtId="200" fontId="11" fillId="0" borderId="15" xfId="0" applyNumberFormat="1" applyFont="1" applyFill="1" applyBorder="1" applyAlignment="1">
      <x:alignment vertical="top" wrapText="1"/>
    </x:xf>
    <x:xf numFmtId="200" fontId="11" fillId="0" borderId="16" xfId="0" applyNumberFormat="1" applyFont="1" applyFill="1" applyBorder="1" applyAlignment="1">
      <x:alignment vertical="top" wrapText="1"/>
    </x:xf>
    <x:xf numFmtId="200" fontId="11" fillId="0" borderId="1" xfId="0" applyNumberFormat="1" applyFont="1" applyFill="1" applyBorder="1" applyAlignment="1">
      <x:alignment vertical="top" wrapText="1"/>
    </x:xf>
    <x:xf numFmtId="200" fontId="11" fillId="0" borderId="17" xfId="0" applyNumberFormat="1" applyFont="1" applyFill="1" applyBorder="1" applyAlignment="1">
      <x:alignment vertical="top" wrapText="1"/>
    </x:xf>
    <x:xf numFmtId="200" fontId="12" fillId="0" borderId="14" xfId="0" applyNumberFormat="1" applyFont="1" applyFill="1" applyBorder="1" applyAlignment="1">
      <x:alignment vertical="top" wrapText="1"/>
    </x:xf>
    <x:xf numFmtId="200" fontId="12" fillId="0" borderId="0" xfId="0" applyNumberFormat="1" applyFont="1" applyFill="1" applyBorder="1" applyAlignment="1">
      <x:alignment vertical="top" wrapText="1"/>
    </x:xf>
    <x:xf numFmtId="200" fontId="12" fillId="0" borderId="15" xfId="0" applyNumberFormat="1" applyFont="1" applyFill="1" applyBorder="1" applyAlignment="1">
      <x:alignment vertical="top" wrapText="1"/>
    </x:xf>
    <x:xf numFmtId="200" fontId="12" fillId="0" borderId="16" xfId="0" applyNumberFormat="1" applyFont="1" applyFill="1" applyBorder="1" applyAlignment="1">
      <x:alignment vertical="top" wrapText="1"/>
    </x:xf>
    <x:xf numFmtId="200" fontId="12" fillId="0" borderId="1" xfId="0" applyNumberFormat="1" applyFont="1" applyFill="1" applyBorder="1" applyAlignment="1">
      <x:alignment vertical="top" wrapText="1"/>
    </x:xf>
    <x:xf numFmtId="200" fontId="12" fillId="0" borderId="17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4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6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13" fillId="0" borderId="14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0" borderId="16" xfId="0" applyNumberFormat="1" applyFont="1" applyFill="1" applyBorder="1" applyAlignment="1">
      <x:alignment vertical="top" wrapText="1"/>
    </x:xf>
    <x:xf numFmtId="0" fontId="13" fillId="0" borderId="1" xfId="0" applyNumberFormat="1" applyFont="1" applyFill="1" applyBorder="1" applyAlignment="1">
      <x:alignment vertical="top" wrapText="1"/>
    </x:xf>
    <x:xf numFmtId="200" fontId="13" fillId="0" borderId="14" xfId="0" applyNumberFormat="1" applyFont="1" applyFill="1" applyBorder="1" applyAlignment="1">
      <x:alignment vertical="top" wrapText="1"/>
    </x:xf>
    <x:xf numFmtId="200" fontId="13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0" fontId="6" fillId="0" borderId="15" xfId="0" applyNumberFormat="1" applyFont="1" applyFill="1" applyBorder="1" applyAlignment="1">
      <x:alignment vertical="top" wrapText="1"/>
    </x:xf>
    <x:xf numFmtId="200" fontId="13" fillId="0" borderId="16" xfId="0" applyNumberFormat="1" applyFont="1" applyFill="1" applyBorder="1" applyAlignment="1">
      <x:alignment vertical="top" wrapText="1"/>
    </x:xf>
    <x:xf numFmtId="200" fontId="13" fillId="0" borderId="1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0" fontId="6" fillId="0" borderId="17" xfId="0" applyNumberFormat="1" applyFont="1" applyFill="1" applyBorder="1" applyAlignment="1">
      <x:alignment vertical="top" wrapText="1"/>
    </x:xf>
    <x:xf numFmtId="200" fontId="14" fillId="0" borderId="0" xfId="0" applyNumberFormat="1" applyFont="1" applyFill="1" applyBorder="1" applyAlignment="1">
      <x:alignment vertical="top" wrapText="1"/>
    </x:xf>
    <x:xf numFmtId="200" fontId="14" fillId="0" borderId="1" xfId="0" applyNumberFormat="1" applyFont="1" applyFill="1" applyBorder="1" applyAlignment="1">
      <x:alignment vertical="top" wrapText="1"/>
    </x:xf>
    <x:xf numFmtId="200" fontId="15" fillId="0" borderId="15" xfId="0" applyNumberFormat="1" applyFont="1" applyFill="1" applyBorder="1" applyAlignment="1">
      <x:alignment vertical="top" wrapText="1"/>
    </x:xf>
    <x:xf numFmtId="200" fontId="15" fillId="0" borderId="17" xfId="0" applyNumberFormat="1" applyFont="1" applyFill="1" applyBorder="1" applyAlignment="1">
      <x:alignment vertical="top" wrapText="1"/>
    </x:xf>
    <x:xf numFmtId="200" fontId="6" fillId="0" borderId="14" xfId="0" applyNumberFormat="1" applyFont="1" applyFill="1" applyBorder="1" applyAlignment="1">
      <x:alignment vertical="top" wrapText="1"/>
    </x:xf>
    <x:xf numFmtId="200" fontId="6" fillId="0" borderId="16" xfId="0" applyNumberFormat="1" applyFont="1" applyFill="1" applyBorder="1" applyAlignment="1">
      <x:alignment vertical="top" wrapText="1"/>
    </x:xf>
    <x:xf numFmtId="200" fontId="15" fillId="0" borderId="14" xfId="0" applyNumberFormat="1" applyFont="1" applyFill="1" applyBorder="1" applyAlignment="1">
      <x:alignment vertical="top" wrapText="1"/>
    </x:xf>
    <x:xf numFmtId="200" fontId="15" fillId="0" borderId="0" xfId="0" applyNumberFormat="1" applyFont="1" applyFill="1" applyBorder="1" applyAlignment="1">
      <x:alignment vertical="top" wrapText="1"/>
    </x:xf>
    <x:xf numFmtId="200" fontId="15" fillId="0" borderId="16" xfId="0" applyNumberFormat="1" applyFont="1" applyFill="1" applyBorder="1" applyAlignment="1">
      <x:alignment vertical="top" wrapText="1"/>
    </x:xf>
    <x:xf numFmtId="200" fontId="15" fillId="0" borderId="1" xfId="0" applyNumberFormat="1" applyFont="1" applyFill="1" applyBorder="1" applyAlignment="1">
      <x:alignment vertical="top" wrapText="1"/>
    </x:xf>
    <x:xf numFmtId="0" fontId="6" fillId="3" borderId="2" xfId="0" applyNumberFormat="1" applyFont="1" applyFill="1" applyBorder="1" applyAlignment="1">
      <x:alignment vertical="top" wrapText="1"/>
    </x:xf>
    <x:xf numFmtId="200" fontId="15" fillId="3" borderId="14" xfId="0" applyNumberFormat="1" applyFont="1" applyFill="1" applyBorder="1" applyAlignment="1">
      <x:alignment vertical="top" wrapText="1"/>
    </x:xf>
    <x:xf numFmtId="0" fontId="6" fillId="3" borderId="8" xfId="0" applyNumberFormat="1" applyFont="1" applyFill="1" applyBorder="1" applyAlignment="1">
      <x:alignment vertical="top" wrapText="1"/>
    </x:xf>
    <x:xf numFmtId="200" fontId="15" fillId="3" borderId="16" xfId="0" applyNumberFormat="1" applyFont="1" applyFill="1" applyBorder="1" applyAlignment="1">
      <x:alignment vertical="top" wrapText="1"/>
    </x:xf>
    <x:xf numFmtId="0" fontId="16" fillId="3" borderId="2" xfId="0" applyNumberFormat="1" applyFont="1" applyFill="1" applyBorder="1" applyAlignment="1">
      <x:alignment vertical="top" wrapText="1"/>
    </x:xf>
    <x:xf numFmtId="200" fontId="16" fillId="3" borderId="14" xfId="0" applyNumberFormat="1" applyFont="1" applyFill="1" applyBorder="1" applyAlignment="1">
      <x:alignment vertical="top" wrapText="1"/>
    </x:xf>
    <x:xf numFmtId="0" fontId="16" fillId="3" borderId="8" xfId="0" applyNumberFormat="1" applyFont="1" applyFill="1" applyBorder="1" applyAlignment="1">
      <x:alignment vertical="top" wrapText="1"/>
    </x:xf>
    <x:xf numFmtId="200" fontId="16" fillId="3" borderId="16" xfId="0" applyNumberFormat="1" applyFont="1" applyFill="1" applyBorder="1" applyAlignment="1">
      <x:alignment vertical="top" wrapText="1"/>
    </x:xf>
    <x:xf numFmtId="200" fontId="13" fillId="5" borderId="14" xfId="0" applyNumberFormat="1" applyFont="1" applyFill="1" applyBorder="1" applyAlignment="1">
      <x:alignment vertical="top" wrapText="1"/>
    </x:xf>
    <x:xf numFmtId="200" fontId="13" fillId="5" borderId="0" xfId="0" applyNumberFormat="1" applyFont="1" applyFill="1" applyBorder="1" applyAlignment="1">
      <x:alignment vertical="top" wrapText="1"/>
    </x:xf>
    <x:xf numFmtId="200" fontId="13" fillId="5" borderId="16" xfId="0" applyNumberFormat="1" applyFont="1" applyFill="1" applyBorder="1" applyAlignment="1">
      <x:alignment vertical="top" wrapText="1"/>
    </x:xf>
    <x:xf numFmtId="200" fontId="13" fillId="5" borderId="1" xfId="0" applyNumberFormat="1" applyFont="1" applyFill="1" applyBorder="1" applyAlignment="1">
      <x:alignment vertical="top" wrapText="1"/>
    </x:xf>
    <x:xf numFmtId="200" fontId="14" fillId="7" borderId="0" xfId="0" applyNumberFormat="1" applyFont="1" applyFill="1" applyBorder="1" applyAlignment="1">
      <x:alignment vertical="top" wrapText="1"/>
    </x:xf>
    <x:xf numFmtId="200" fontId="14" fillId="7" borderId="1" xfId="0" applyNumberFormat="1" applyFont="1" applyFill="1" applyBorder="1" applyAlignment="1">
      <x:alignment vertical="top" wrapText="1"/>
    </x:xf>
    <x:xf numFmtId="200" fontId="15" fillId="3" borderId="0" xfId="0" applyNumberFormat="1" applyFont="1" applyFill="1" applyBorder="1" applyAlignment="1">
      <x:alignment vertical="top" wrapText="1"/>
    </x:xf>
    <x:xf numFmtId="200" fontId="15" fillId="3" borderId="15" xfId="0" applyNumberFormat="1" applyFont="1" applyFill="1" applyBorder="1" applyAlignment="1">
      <x:alignment vertical="top" wrapText="1"/>
    </x:xf>
    <x:xf numFmtId="200" fontId="15" fillId="3" borderId="1" xfId="0" applyNumberFormat="1" applyFont="1" applyFill="1" applyBorder="1" applyAlignment="1">
      <x:alignment vertical="top" wrapText="1"/>
    </x:xf>
    <x:xf numFmtId="200" fontId="15" fillId="3" borderId="17" xfId="0" applyNumberFormat="1" applyFont="1" applyFill="1" applyBorder="1" applyAlignment="1">
      <x:alignment vertical="top" wrapText="1"/>
    </x:xf>
    <x:xf numFmtId="201" fontId="11" fillId="0" borderId="14" xfId="0" applyNumberFormat="1" applyFont="1" applyFill="1" applyBorder="1" applyAlignment="1">
      <x:alignment vertical="top" wrapText="1"/>
    </x:xf>
    <x:xf numFmtId="201" fontId="11" fillId="0" borderId="0" xfId="0" applyNumberFormat="1" applyFont="1" applyFill="1" applyBorder="1" applyAlignment="1">
      <x:alignment vertical="top" wrapText="1"/>
    </x:xf>
    <x:xf numFmtId="201" fontId="11" fillId="0" borderId="15" xfId="0" applyNumberFormat="1" applyFont="1" applyFill="1" applyBorder="1" applyAlignment="1">
      <x:alignment vertical="top" wrapText="1"/>
    </x:xf>
    <x:xf numFmtId="201" fontId="11" fillId="0" borderId="16" xfId="0" applyNumberFormat="1" applyFont="1" applyFill="1" applyBorder="1" applyAlignment="1">
      <x:alignment vertical="top" wrapText="1"/>
    </x:xf>
    <x:xf numFmtId="201" fontId="11" fillId="0" borderId="1" xfId="0" applyNumberFormat="1" applyFont="1" applyFill="1" applyBorder="1" applyAlignment="1">
      <x:alignment vertical="top" wrapText="1"/>
    </x:xf>
    <x:xf numFmtId="201" fontId="11" fillId="0" borderId="17" xfId="0" applyNumberFormat="1" applyFont="1" applyFill="1" applyBorder="1" applyAlignment="1">
      <x:alignment vertical="top" wrapText="1"/>
    </x:xf>
    <x:xf numFmtId="201" fontId="12" fillId="0" borderId="14" xfId="0" applyNumberFormat="1" applyFont="1" applyFill="1" applyBorder="1" applyAlignment="1">
      <x:alignment vertical="top" wrapText="1"/>
    </x:xf>
    <x:xf numFmtId="201" fontId="12" fillId="0" borderId="0" xfId="0" applyNumberFormat="1" applyFont="1" applyFill="1" applyBorder="1" applyAlignment="1">
      <x:alignment vertical="top" wrapText="1"/>
    </x:xf>
    <x:xf numFmtId="201" fontId="12" fillId="0" borderId="15" xfId="0" applyNumberFormat="1" applyFont="1" applyFill="1" applyBorder="1" applyAlignment="1">
      <x:alignment vertical="top" wrapText="1"/>
    </x:xf>
    <x:xf numFmtId="201" fontId="12" fillId="0" borderId="16" xfId="0" applyNumberFormat="1" applyFont="1" applyFill="1" applyBorder="1" applyAlignment="1">
      <x:alignment vertical="top" wrapText="1"/>
    </x:xf>
    <x:xf numFmtId="201" fontId="12" fillId="0" borderId="1" xfId="0" applyNumberFormat="1" applyFont="1" applyFill="1" applyBorder="1" applyAlignment="1">
      <x:alignment vertical="top" wrapText="1"/>
    </x:xf>
    <x:xf numFmtId="201" fontId="12" fillId="0" borderId="17" xfId="0" applyNumberFormat="1" applyFont="1" applyFill="1" applyBorder="1" applyAlignment="1">
      <x:alignment vertical="top" wrapText="1"/>
    </x:xf>
    <x:xf numFmtId="0" fontId="12" fillId="0" borderId="14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0" borderId="16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vertical="top" wrapText="1"/>
    </x:xf>
    <x:xf numFmtId="202" fontId="11" fillId="0" borderId="0" xfId="0" applyNumberFormat="1" applyFont="1" applyFill="1" applyBorder="1" applyAlignment="1">
      <x:alignment vertical="top" wrapText="1"/>
    </x:xf>
    <x:xf numFmtId="202" fontId="11" fillId="0" borderId="1" xfId="0" applyNumberFormat="1" applyFont="1" applyFill="1" applyBorder="1" applyAlignment="1">
      <x:alignment vertical="top" wrapText="1"/>
    </x:xf>
    <x:xf numFmtId="202" fontId="12" fillId="0" borderId="0" xfId="0" applyNumberFormat="1" applyFont="1" applyFill="1" applyBorder="1" applyAlignment="1">
      <x:alignment vertical="top" wrapText="1"/>
    </x:xf>
    <x:xf numFmtId="202" fontId="12" fillId="0" borderId="1" xfId="0" applyNumberFormat="1" applyFont="1" applyFill="1" applyBorder="1" applyAlignment="1">
      <x:alignment vertical="top" wrapText="1"/>
    </x:xf>
    <x:xf numFmtId="202" fontId="11" fillId="0" borderId="14" xfId="0" applyNumberFormat="1" applyFont="1" applyFill="1" applyBorder="1" applyAlignment="1">
      <x:alignment vertical="top" wrapText="1"/>
    </x:xf>
    <x:xf numFmtId="202" fontId="11" fillId="0" borderId="15" xfId="0" applyNumberFormat="1" applyFont="1" applyFill="1" applyBorder="1" applyAlignment="1">
      <x:alignment vertical="top" wrapText="1"/>
    </x:xf>
    <x:xf numFmtId="202" fontId="11" fillId="0" borderId="16" xfId="0" applyNumberFormat="1" applyFont="1" applyFill="1" applyBorder="1" applyAlignment="1">
      <x:alignment vertical="top" wrapText="1"/>
    </x:xf>
    <x:xf numFmtId="202" fontId="11" fillId="0" borderId="17" xfId="0" applyNumberFormat="1" applyFont="1" applyFill="1" applyBorder="1" applyAlignment="1">
      <x:alignment vertical="top" wrapText="1"/>
    </x:xf>
    <x:xf numFmtId="202" fontId="17" fillId="0" borderId="14" xfId="0" applyNumberFormat="1" applyFont="1" applyFill="1" applyBorder="1" applyAlignment="1">
      <x:alignment vertical="top" wrapText="1"/>
    </x:xf>
    <x:xf numFmtId="202" fontId="17" fillId="0" borderId="0" xfId="0" applyNumberFormat="1" applyFont="1" applyFill="1" applyBorder="1" applyAlignment="1">
      <x:alignment vertical="top" wrapText="1"/>
    </x:xf>
    <x:xf numFmtId="202" fontId="17" fillId="0" borderId="15" xfId="0" applyNumberFormat="1" applyFont="1" applyFill="1" applyBorder="1" applyAlignment="1">
      <x:alignment vertical="top" wrapText="1"/>
    </x:xf>
    <x:xf numFmtId="202" fontId="17" fillId="0" borderId="16" xfId="0" applyNumberFormat="1" applyFont="1" applyFill="1" applyBorder="1" applyAlignment="1">
      <x:alignment vertical="top" wrapText="1"/>
    </x:xf>
    <x:xf numFmtId="202" fontId="17" fillId="0" borderId="1" xfId="0" applyNumberFormat="1" applyFont="1" applyFill="1" applyBorder="1" applyAlignment="1">
      <x:alignment vertical="top" wrapText="1"/>
    </x:xf>
    <x:xf numFmtId="202" fontId="17" fillId="0" borderId="17" xfId="0" applyNumberFormat="1" applyFont="1" applyFill="1" applyBorder="1" applyAlignment="1">
      <x:alignment vertical="top" wrapText="1"/>
    </x:xf>
    <x:xf numFmtId="0" fontId="12" fillId="0" borderId="15" xfId="0" applyNumberFormat="1" applyFont="1" applyFill="1" applyBorder="1" applyAlignment="1">
      <x:alignment vertical="top" wrapText="1"/>
    </x:xf>
    <x:xf numFmtId="0" fontId="12" fillId="0" borderId="17" xfId="0" applyNumberFormat="1" applyFont="1" applyFill="1" applyBorder="1" applyAlignment="1">
      <x:alignment vertical="top" wrapText="1"/>
    </x:xf>
    <x:xf numFmtId="0" fontId="18" fillId="0" borderId="0" xfId="0" applyNumberFormat="1" applyFont="1" applyFill="1" applyBorder="1"/>
    <x:xf numFmtId="0" fontId="18" fillId="0" borderId="2" xfId="0" applyNumberFormat="1" applyFont="1" applyFill="1" applyBorder="1"/>
    <x:xf numFmtId="0" fontId="18" fillId="0" borderId="14" xfId="0" applyNumberFormat="1" applyFont="1" applyFill="1" applyBorder="1"/>
    <x:xf numFmtId="0" fontId="18" fillId="0" borderId="3" xfId="0" applyNumberFormat="1" applyFont="1" applyFill="1" applyBorder="1"/>
    <x:xf numFmtId="0" fontId="18" fillId="0" borderId="4" xfId="0" applyNumberFormat="1" applyFont="1" applyFill="1" applyBorder="1"/>
    <x:xf numFmtId="0" fontId="18" fillId="0" borderId="5" xfId="0" applyNumberFormat="1" applyFont="1" applyFill="1" applyBorder="1"/>
    <x:xf numFmtId="0" fontId="18" fillId="0" borderId="6" xfId="0" applyNumberFormat="1" applyFont="1" applyFill="1" applyBorder="1"/>
    <x:xf numFmtId="0" fontId="18" fillId="0" borderId="15" xfId="0" applyNumberFormat="1" applyFont="1" applyFill="1" applyBorder="1"/>
    <x:xf numFmtId="0" fontId="18" fillId="0" borderId="7" xfId="0" applyNumberFormat="1" applyFont="1" applyFill="1" applyBorder="1"/>
    <x:xf numFmtId="0" fontId="18" fillId="0" borderId="2" xfId="0" applyNumberFormat="1" applyFont="1" applyFill="1" applyBorder="1" applyAlignment="1">
      <x:alignment wrapText="1"/>
    </x:xf>
    <x:xf numFmtId="0" fontId="18" fillId="0" borderId="14" xfId="0" applyNumberFormat="1" applyFont="1" applyFill="1" applyBorder="1" applyAlignment="1">
      <x:alignment wrapText="1"/>
    </x:xf>
    <x:xf numFmtId="0" fontId="18" fillId="0" borderId="3" xfId="0" applyNumberFormat="1" applyFont="1" applyFill="1" applyBorder="1" applyAlignment="1">
      <x:alignment wrapText="1"/>
    </x:xf>
    <x:xf numFmtId="0" fontId="18" fillId="0" borderId="4" xfId="0" applyNumberFormat="1" applyFont="1" applyFill="1" applyBorder="1" applyAlignment="1">
      <x:alignment wrapText="1"/>
    </x:xf>
    <x:xf numFmtId="0" fontId="18" fillId="0" borderId="0" xfId="0" applyNumberFormat="1" applyFont="1" applyFill="1" applyBorder="1" applyAlignment="1">
      <x:alignment wrapText="1"/>
    </x:xf>
    <x:xf numFmtId="0" fontId="18" fillId="0" borderId="5" xfId="0" applyNumberFormat="1" applyFont="1" applyFill="1" applyBorder="1" applyAlignment="1">
      <x:alignment wrapText="1"/>
    </x:xf>
    <x:xf numFmtId="0" fontId="18" fillId="0" borderId="6" xfId="0" applyNumberFormat="1" applyFont="1" applyFill="1" applyBorder="1" applyAlignment="1">
      <x:alignment wrapText="1"/>
    </x:xf>
    <x:xf numFmtId="0" fontId="18" fillId="0" borderId="15" xfId="0" applyNumberFormat="1" applyFont="1" applyFill="1" applyBorder="1" applyAlignment="1">
      <x:alignment wrapText="1"/>
    </x:xf>
    <x:xf numFmtId="0" fontId="18" fillId="0" borderId="7" xfId="0" applyNumberFormat="1" applyFont="1" applyFill="1" applyBorder="1" applyAlignment="1">
      <x:alignment wrapText="1"/>
    </x:xf>
    <x:xf numFmtId="0" fontId="18" fillId="0" borderId="2" xfId="0" applyNumberFormat="1" applyFont="1" applyFill="1" applyBorder="1" applyAlignment="1">
      <x:alignment vertical="top" wrapText="1"/>
    </x:xf>
    <x:xf numFmtId="0" fontId="18" fillId="0" borderId="14" xfId="0" applyNumberFormat="1" applyFont="1" applyFill="1" applyBorder="1" applyAlignment="1">
      <x:alignment vertical="top" wrapText="1"/>
    </x:xf>
    <x:xf numFmtId="0" fontId="18" fillId="0" borderId="3" xfId="0" applyNumberFormat="1" applyFont="1" applyFill="1" applyBorder="1" applyAlignment="1">
      <x:alignment vertical="top" wrapText="1"/>
    </x:xf>
    <x:xf numFmtId="0" fontId="18" fillId="0" borderId="4" xfId="0" applyNumberFormat="1" applyFont="1" applyFill="1" applyBorder="1" applyAlignment="1">
      <x:alignment vertical="top" wrapText="1"/>
    </x:xf>
    <x:xf numFmtId="0" fontId="18" fillId="0" borderId="0" xfId="0" applyNumberFormat="1" applyFont="1" applyFill="1" applyBorder="1" applyAlignment="1">
      <x:alignment vertical="top" wrapText="1"/>
    </x:xf>
    <x:xf numFmtId="0" fontId="18" fillId="0" borderId="5" xfId="0" applyNumberFormat="1" applyFont="1" applyFill="1" applyBorder="1" applyAlignment="1">
      <x:alignment vertical="top" wrapText="1"/>
    </x:xf>
    <x:xf numFmtId="0" fontId="18" fillId="0" borderId="6" xfId="0" applyNumberFormat="1" applyFont="1" applyFill="1" applyBorder="1" applyAlignment="1">
      <x:alignment vertical="top" wrapText="1"/>
    </x:xf>
    <x:xf numFmtId="0" fontId="18" fillId="0" borderId="15" xfId="0" applyNumberFormat="1" applyFont="1" applyFill="1" applyBorder="1" applyAlignment="1">
      <x:alignment vertical="top" wrapText="1"/>
    </x:xf>
    <x:xf numFmtId="0" fontId="18" fillId="0" borderId="7" xfId="0" applyNumberFormat="1" applyFont="1" applyFill="1" applyBorder="1" applyAlignment="1">
      <x:alignment vertical="top" wrapText="1"/>
    </x:xf>
    <x:xf numFmtId="0" fontId="18" fillId="0" borderId="1" xfId="0" applyNumberFormat="1" applyFont="1" applyFill="1" applyBorder="1"/>
    <x:xf numFmtId="0" fontId="18" fillId="0" borderId="8" xfId="0" applyNumberFormat="1" applyFont="1" applyFill="1" applyBorder="1"/>
    <x:xf numFmtId="0" fontId="18" fillId="0" borderId="16" xfId="0" applyNumberFormat="1" applyFont="1" applyFill="1" applyBorder="1"/>
    <x:xf numFmtId="0" fontId="18" fillId="0" borderId="9" xfId="0" applyNumberFormat="1" applyFont="1" applyFill="1" applyBorder="1"/>
    <x:xf numFmtId="0" fontId="18" fillId="0" borderId="10" xfId="0" applyNumberFormat="1" applyFont="1" applyFill="1" applyBorder="1"/>
    <x:xf numFmtId="0" fontId="18" fillId="0" borderId="11" xfId="0" applyNumberFormat="1" applyFont="1" applyFill="1" applyBorder="1"/>
    <x:xf numFmtId="0" fontId="18" fillId="0" borderId="12" xfId="0" applyNumberFormat="1" applyFont="1" applyFill="1" applyBorder="1"/>
    <x:xf numFmtId="0" fontId="18" fillId="0" borderId="17" xfId="0" applyNumberFormat="1" applyFont="1" applyFill="1" applyBorder="1"/>
    <x:xf numFmtId="0" fontId="18" fillId="0" borderId="13" xfId="0" applyNumberFormat="1" applyFont="1" applyFill="1" applyBorder="1"/>
    <x:xf numFmtId="0" fontId="18" fillId="0" borderId="8" xfId="0" applyNumberFormat="1" applyFont="1" applyFill="1" applyBorder="1" applyAlignment="1">
      <x:alignment wrapText="1"/>
    </x:xf>
    <x:xf numFmtId="0" fontId="18" fillId="0" borderId="16" xfId="0" applyNumberFormat="1" applyFont="1" applyFill="1" applyBorder="1" applyAlignment="1">
      <x:alignment wrapText="1"/>
    </x:xf>
    <x:xf numFmtId="0" fontId="18" fillId="0" borderId="9" xfId="0" applyNumberFormat="1" applyFont="1" applyFill="1" applyBorder="1" applyAlignment="1">
      <x:alignment wrapText="1"/>
    </x:xf>
    <x:xf numFmtId="0" fontId="18" fillId="0" borderId="10" xfId="0" applyNumberFormat="1" applyFont="1" applyFill="1" applyBorder="1" applyAlignment="1">
      <x:alignment wrapText="1"/>
    </x:xf>
    <x:xf numFmtId="0" fontId="18" fillId="0" borderId="1" xfId="0" applyNumberFormat="1" applyFont="1" applyFill="1" applyBorder="1" applyAlignment="1">
      <x:alignment wrapText="1"/>
    </x:xf>
    <x:xf numFmtId="0" fontId="18" fillId="0" borderId="11" xfId="0" applyNumberFormat="1" applyFont="1" applyFill="1" applyBorder="1" applyAlignment="1">
      <x:alignment wrapText="1"/>
    </x:xf>
    <x:xf numFmtId="0" fontId="18" fillId="0" borderId="12" xfId="0" applyNumberFormat="1" applyFont="1" applyFill="1" applyBorder="1" applyAlignment="1">
      <x:alignment wrapText="1"/>
    </x:xf>
    <x:xf numFmtId="0" fontId="18" fillId="0" borderId="17" xfId="0" applyNumberFormat="1" applyFont="1" applyFill="1" applyBorder="1" applyAlignment="1">
      <x:alignment wrapText="1"/>
    </x:xf>
    <x:xf numFmtId="0" fontId="18" fillId="0" borderId="13" xfId="0" applyNumberFormat="1" applyFont="1" applyFill="1" applyBorder="1" applyAlignment="1">
      <x:alignment wrapText="1"/>
    </x:xf>
    <x:xf numFmtId="0" fontId="18" fillId="0" borderId="8" xfId="0" applyNumberFormat="1" applyFont="1" applyFill="1" applyBorder="1" applyAlignment="1">
      <x:alignment vertical="top" wrapText="1"/>
    </x:xf>
    <x:xf numFmtId="0" fontId="18" fillId="0" borderId="16" xfId="0" applyNumberFormat="1" applyFont="1" applyFill="1" applyBorder="1" applyAlignment="1">
      <x:alignment vertical="top" wrapText="1"/>
    </x:xf>
    <x:xf numFmtId="0" fontId="18" fillId="0" borderId="9" xfId="0" applyNumberFormat="1" applyFont="1" applyFill="1" applyBorder="1" applyAlignment="1">
      <x:alignment vertical="top" wrapText="1"/>
    </x:xf>
    <x:xf numFmtId="0" fontId="18" fillId="0" borderId="10" xfId="0" applyNumberFormat="1" applyFont="1" applyFill="1" applyBorder="1" applyAlignment="1">
      <x:alignment vertical="top" wrapText="1"/>
    </x:xf>
    <x:xf numFmtId="0" fontId="18" fillId="0" borderId="1" xfId="0" applyNumberFormat="1" applyFont="1" applyFill="1" applyBorder="1" applyAlignment="1">
      <x:alignment vertical="top" wrapText="1"/>
    </x:xf>
    <x:xf numFmtId="0" fontId="18" fillId="0" borderId="11" xfId="0" applyNumberFormat="1" applyFont="1" applyFill="1" applyBorder="1" applyAlignment="1">
      <x:alignment vertical="top" wrapText="1"/>
    </x:xf>
    <x:xf numFmtId="0" fontId="18" fillId="0" borderId="12" xfId="0" applyNumberFormat="1" applyFont="1" applyFill="1" applyBorder="1" applyAlignment="1">
      <x:alignment vertical="top" wrapText="1"/>
    </x:xf>
    <x:xf numFmtId="0" fontId="18" fillId="0" borderId="17" xfId="0" applyNumberFormat="1" applyFont="1" applyFill="1" applyBorder="1" applyAlignment="1">
      <x:alignment vertical="top" wrapText="1"/>
    </x:xf>
    <x:xf numFmtId="0" fontId="18" fillId="0" borderId="13" xfId="0" applyNumberFormat="1" applyFont="1" applyFill="1" applyBorder="1" applyAlignment="1">
      <x:alignment vertical="top" wrapText="1"/>
    </x:xf>
    <x:xf numFmtId="203" fontId="18" fillId="0" borderId="14" xfId="0" applyNumberFormat="1" applyFont="1" applyFill="1" applyBorder="1" applyAlignment="1">
      <x:alignment vertical="top" wrapText="1"/>
    </x:xf>
    <x:xf numFmtId="203" fontId="18" fillId="0" borderId="0" xfId="0" applyNumberFormat="1" applyFont="1" applyFill="1" applyBorder="1" applyAlignment="1">
      <x:alignment vertical="top" wrapText="1"/>
    </x:xf>
    <x:xf numFmtId="203" fontId="18" fillId="0" borderId="15" xfId="0" applyNumberFormat="1" applyFont="1" applyFill="1" applyBorder="1" applyAlignment="1">
      <x:alignment vertical="top" wrapText="1"/>
    </x:xf>
    <x:xf numFmtId="203" fontId="18" fillId="0" borderId="16" xfId="0" applyNumberFormat="1" applyFont="1" applyFill="1" applyBorder="1" applyAlignment="1">
      <x:alignment vertical="top" wrapText="1"/>
    </x:xf>
    <x:xf numFmtId="203" fontId="18" fillId="0" borderId="1" xfId="0" applyNumberFormat="1" applyFont="1" applyFill="1" applyBorder="1" applyAlignment="1">
      <x:alignment vertical="top" wrapText="1"/>
    </x:xf>
    <x:xf numFmtId="203" fontId="18" fillId="0" borderId="17" xfId="0" applyNumberFormat="1" applyFont="1" applyFill="1" applyBorder="1" applyAlignment="1">
      <x:alignment vertical="top" wrapText="1"/>
    </x:xf>
    <x:xf numFmtId="204" fontId="18" fillId="0" borderId="14" xfId="0" applyNumberFormat="1" applyFont="1" applyFill="1" applyBorder="1" applyAlignment="1">
      <x:alignment vertical="top" wrapText="1"/>
    </x:xf>
    <x:xf numFmtId="204" fontId="18" fillId="0" borderId="0" xfId="0" applyNumberFormat="1" applyFont="1" applyFill="1" applyBorder="1" applyAlignment="1">
      <x:alignment vertical="top" wrapText="1"/>
    </x:xf>
    <x:xf numFmtId="204" fontId="18" fillId="0" borderId="15" xfId="0" applyNumberFormat="1" applyFont="1" applyFill="1" applyBorder="1" applyAlignment="1">
      <x:alignment vertical="top" wrapText="1"/>
    </x:xf>
    <x:xf numFmtId="204" fontId="18" fillId="0" borderId="16" xfId="0" applyNumberFormat="1" applyFont="1" applyFill="1" applyBorder="1" applyAlignment="1">
      <x:alignment vertical="top" wrapText="1"/>
    </x:xf>
    <x:xf numFmtId="204" fontId="18" fillId="0" borderId="1" xfId="0" applyNumberFormat="1" applyFont="1" applyFill="1" applyBorder="1" applyAlignment="1">
      <x:alignment vertical="top" wrapText="1"/>
    </x:xf>
    <x:xf numFmtId="204" fontId="18" fillId="0" borderId="17" xfId="0" applyNumberFormat="1" applyFont="1" applyFill="1" applyBorder="1" applyAlignment="1">
      <x:alignment vertical="top" wrapText="1"/>
    </x:xf>
    <x:xf numFmtId="0" fontId="19" fillId="0" borderId="3" xfId="0" applyNumberFormat="1" applyFont="1" applyFill="1" applyBorder="1" applyAlignment="1">
      <x:alignment vertical="top" wrapText="1"/>
    </x:xf>
    <x:xf numFmtId="0" fontId="19" fillId="0" borderId="5" xfId="0" applyNumberFormat="1" applyFont="1" applyFill="1" applyBorder="1" applyAlignment="1">
      <x:alignment vertical="top" wrapText="1"/>
    </x:xf>
    <x:xf numFmtId="0" fontId="19" fillId="0" borderId="7" xfId="0" applyNumberFormat="1" applyFont="1" applyFill="1" applyBorder="1" applyAlignment="1">
      <x:alignment vertical="top" wrapText="1"/>
    </x:xf>
    <x:xf numFmtId="0" fontId="19" fillId="0" borderId="9" xfId="0" applyNumberFormat="1" applyFont="1" applyFill="1" applyBorder="1" applyAlignment="1">
      <x:alignment vertical="top" wrapText="1"/>
    </x:xf>
    <x:xf numFmtId="0" fontId="19" fillId="0" borderId="11" xfId="0" applyNumberFormat="1" applyFont="1" applyFill="1" applyBorder="1" applyAlignment="1">
      <x:alignment vertical="top" wrapText="1"/>
    </x:xf>
    <x:xf numFmtId="0" fontId="19" fillId="0" borderId="13" xfId="0" applyNumberFormat="1" applyFont="1" applyFill="1" applyBorder="1" applyAlignment="1">
      <x:alignment vertical="top" wrapText="1"/>
    </x:xf>
    <x:xf numFmtId="203" fontId="11" fillId="0" borderId="2" xfId="0" applyNumberFormat="1" applyFont="1" applyFill="1" applyBorder="1" applyAlignment="1">
      <x:alignment vertical="top" wrapText="1"/>
    </x:xf>
    <x:xf numFmtId="203" fontId="11" fillId="0" borderId="4" xfId="0" applyNumberFormat="1" applyFont="1" applyFill="1" applyBorder="1" applyAlignment="1">
      <x:alignment vertical="top" wrapText="1"/>
    </x:xf>
    <x:xf numFmtId="203" fontId="11" fillId="0" borderId="6" xfId="0" applyNumberFormat="1" applyFont="1" applyFill="1" applyBorder="1" applyAlignment="1">
      <x:alignment vertical="top" wrapText="1"/>
    </x:xf>
    <x:xf numFmtId="203" fontId="11" fillId="0" borderId="8" xfId="0" applyNumberFormat="1" applyFont="1" applyFill="1" applyBorder="1" applyAlignment="1">
      <x:alignment vertical="top" wrapText="1"/>
    </x:xf>
    <x:xf numFmtId="203" fontId="11" fillId="0" borderId="10" xfId="0" applyNumberFormat="1" applyFont="1" applyFill="1" applyBorder="1" applyAlignment="1">
      <x:alignment vertical="top" wrapText="1"/>
    </x:xf>
    <x:xf numFmtId="203" fontId="11" fillId="0" borderId="12" xfId="0" applyNumberFormat="1" applyFont="1" applyFill="1" applyBorder="1" applyAlignment="1">
      <x:alignment vertical="top" wrapText="1"/>
    </x:xf>
    <x:xf numFmtId="203" fontId="12" fillId="0" borderId="2" xfId="0" applyNumberFormat="1" applyFont="1" applyFill="1" applyBorder="1" applyAlignment="1">
      <x:alignment vertical="top" wrapText="1"/>
    </x:xf>
    <x:xf numFmtId="203" fontId="12" fillId="0" borderId="4" xfId="0" applyNumberFormat="1" applyFont="1" applyFill="1" applyBorder="1" applyAlignment="1">
      <x:alignment vertical="top" wrapText="1"/>
    </x:xf>
    <x:xf numFmtId="203" fontId="12" fillId="0" borderId="6" xfId="0" applyNumberFormat="1" applyFont="1" applyFill="1" applyBorder="1" applyAlignment="1">
      <x:alignment vertical="top" wrapText="1"/>
    </x:xf>
    <x:xf numFmtId="203" fontId="12" fillId="0" borderId="8" xfId="0" applyNumberFormat="1" applyFont="1" applyFill="1" applyBorder="1" applyAlignment="1">
      <x:alignment vertical="top" wrapText="1"/>
    </x:xf>
    <x:xf numFmtId="203" fontId="12" fillId="0" borderId="10" xfId="0" applyNumberFormat="1" applyFont="1" applyFill="1" applyBorder="1" applyAlignment="1">
      <x:alignment vertical="top" wrapText="1"/>
    </x:xf>
    <x:xf numFmtId="203" fontId="12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438a8e8a847ac" /><Relationship Type="http://schemas.openxmlformats.org/officeDocument/2006/relationships/theme" Target="/xl/theme/theme1.xml" Id="R6d6a46d493404473" /><Relationship Type="http://schemas.openxmlformats.org/officeDocument/2006/relationships/sharedStrings" Target="/xl/sharedStrings.xml" Id="R2d4ca5f8fdba4286" /><Relationship Type="http://schemas.openxmlformats.org/officeDocument/2006/relationships/worksheet" Target="/xl/worksheets/sheet1.xml" Id="R8ff4f198065f4aad" /><Relationship Type="http://schemas.openxmlformats.org/officeDocument/2006/relationships/worksheet" Target="/xl/worksheets/sheet2.xml" Id="R262d9990b643440a" /><Relationship Type="http://schemas.openxmlformats.org/officeDocument/2006/relationships/worksheet" Target="/xl/worksheets/sheet3.xml" Id="R022e70dcd7454849" /><Relationship Type="http://schemas.openxmlformats.org/officeDocument/2006/relationships/worksheet" Target="/xl/worksheets/sheet4.xml" Id="R91cd93781c374651" /><Relationship Type="http://schemas.openxmlformats.org/officeDocument/2006/relationships/worksheet" Target="/xl/worksheets/sheet5.xml" Id="R524b9c643f3a453c" /><Relationship Type="http://schemas.openxmlformats.org/officeDocument/2006/relationships/worksheet" Target="/xl/worksheets/sheet6.xml" Id="R46deb0545ac94433" /><Relationship Type="http://schemas.openxmlformats.org/officeDocument/2006/relationships/worksheet" Target="/xl/worksheets/sheet7.xml" Id="Rfcc470c0a18140a2" /><Relationship Type="http://schemas.openxmlformats.org/officeDocument/2006/relationships/worksheet" Target="/xl/worksheets/sheet8.xml" Id="R0767d8597a7642b1" /><Relationship Type="http://schemas.openxmlformats.org/officeDocument/2006/relationships/worksheet" Target="/xl/worksheets/sheet9.xml" Id="R352023cea5f3467b" /><Relationship Type="http://schemas.openxmlformats.org/officeDocument/2006/relationships/worksheet" Target="/xl/worksheets/sheet10.xml" Id="R1149e8cc8e214929" /><Relationship Type="http://schemas.openxmlformats.org/officeDocument/2006/relationships/worksheet" Target="/xl/worksheets/sheet11.xml" Id="Rfeea0a4075734dae" /><Relationship Type="http://schemas.openxmlformats.org/officeDocument/2006/relationships/worksheet" Target="/xl/worksheets/sheet12.xml" Id="R9d05320ae15b4441" /><Relationship Type="http://schemas.openxmlformats.org/officeDocument/2006/relationships/worksheet" Target="/xl/worksheets/sheet13.xml" Id="Rf1041892c7404799" /><Relationship Type="http://schemas.openxmlformats.org/officeDocument/2006/relationships/worksheet" Target="/xl/worksheets/sheet14.xml" Id="R8d8ce4734355413c" /><Relationship Type="http://schemas.openxmlformats.org/officeDocument/2006/relationships/worksheet" Target="/xl/worksheets/sheet15.xml" Id="R2dde7a5488374d79" /><Relationship Type="http://schemas.openxmlformats.org/officeDocument/2006/relationships/worksheet" Target="/xl/worksheets/sheet16.xml" Id="R84b58f2b0687484e" /><Relationship Type="http://schemas.openxmlformats.org/officeDocument/2006/relationships/worksheet" Target="/xl/worksheets/sheet17.xml" Id="R2bbd7b40414d4c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ed2a33c47248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Share above $1,000 by denominator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Apps</c:v>
          </c:tx>
          <c:cat>
            <c:strRef>
              <c:f>'Executive Estimates'!$A$15:$A$20</c:f>
              <c:strCache>
                <c:ptCount val="0"/>
              </c:strCache>
            </c:strRef>
          </c:cat>
          <c:val>
            <c:numRef>
              <c:f>'Executive Estimates'!$B$15:$B$20</c:f>
              <c:numCache>
                <c:formatCode>0.0%;[Red](0.0%);-</c:formatCode>
                <c:ptCount val="0"/>
              </c:numCache>
            </c:numRef>
          </c:val>
        </c:ser>
        <c:ser>
          <c:idx val="1"/>
          <c:order val="1"/>
          <c:tx>
            <c:v>Developers</c:v>
          </c:tx>
          <c:cat>
            <c:strRef>
              <c:f>'Executive Estimates'!$A$15:$A$20</c:f>
              <c:strCache>
                <c:ptCount val="0"/>
              </c:strCache>
            </c:strRef>
          </c:cat>
          <c:val>
            <c:numRef>
              <c:f>'Executive Estimates'!$C$15:$C$20</c:f>
              <c:numCache>
                <c:formatCode>0.0%;[Red](0.0%);-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 b="1"/>
                  <a:t>Share above $1,000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/>
              </a:pPr>
            </a:p>
          </c:txPr>
        </c:title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ed2a33c47248f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2b6afd27b6847ad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The Income Distribution of Independent Apps</x:v>
      </x:c>
    </x:row>
    <x:row r="2" ht="28" customHeight="1">
      <x:c r="A2" s="12" t="str">
        <x:v>Research model, evidence ledger, and downloadable appendix | Cut-off: 14 July 2026</x:v>
      </x:c>
    </x:row>
    <x:row r="4" ht="22" customHeight="1">
      <x:c r="A4" s="17" t="str">
        <x:v>Direct answer</x:v>
      </x:c>
    </x:row>
    <x:row r="5">
      <x:c r="A5" s="22" t="str">
        <x:v>About 15.4% of serious independent app developers are modeled to generate at least $1,000 in current monthly gross app revenue across apps they own. Plausible range: 8.4%-25.0%. At the individual-app level, the central estimate is 10.2%. Requiring three consecutive months lowers the central developer estimate to about 12.0%.</x:v>
      </x:c>
    </x:row>
    <x:row r="9">
      <x:c r="A9" s="28" t="str">
        <x:v>Workbook convention</x:v>
      </x:c>
      <x:c r="B9" s="28" t="str">
        <x:v>Meaning</x:v>
      </x:c>
    </x:row>
    <x:row r="10">
      <x:c r="A10" s="70" t="str">
        <x:v>Blue font</x:v>
      </x:c>
      <x:c r="B10" s="46" t="str">
        <x:v>Hardcoded research input or scenario assumption</x:v>
      </x:c>
    </x:row>
    <x:row r="11">
      <x:c r="A11" s="72" t="str">
        <x:v>Black font</x:v>
      </x:c>
      <x:c r="B11" s="48" t="str">
        <x:v>Formula or calculation within the sheet</x:v>
      </x:c>
    </x:row>
    <x:row r="12">
      <x:c r="A12" s="74" t="str">
        <x:v>Green font</x:v>
      </x:c>
      <x:c r="B12" s="48" t="str">
        <x:v>Formula linking to another worksheet</x:v>
      </x:c>
    </x:row>
    <x:row r="13">
      <x:c r="A13" s="76" t="str">
        <x:v>Yellow fill</x:v>
      </x:c>
      <x:c r="B13" s="48" t="str">
        <x:v>Key assumption that materially affects the output</x:v>
      </x:c>
    </x:row>
    <x:row r="14">
      <x:c r="A14" s="47" t="str">
        <x:v>Percentages</x:v>
      </x:c>
      <x:c r="B14" s="48" t="str">
        <x:v>Stored as decimals and displayed as percentages</x:v>
      </x:c>
    </x:row>
    <x:row r="15">
      <x:c r="A15" s="49" t="str">
        <x:v>Revenue basis</x:v>
      </x:c>
      <x:c r="B15" s="50" t="str">
        <x:v>Gross trailing-30-day app revenue unless stated otherwise</x:v>
      </x:c>
    </x:row>
    <x:row r="17">
      <x:c r="A17" s="81" t="str">
        <x:v>Input-file audit: the ZIP uploaded in this conversation was a Google Search Console performance export, not an app-economics dataset. The research dossier was found in the user's File Library. No separate app-level evidence dataset was available, so the case table was reconstructed and extended. Public case frequencies are never used as prevalence estimates.</x:v>
      </x:c>
    </x:row>
    <x:row r="22">
      <x:c r="A22" s="86" t="str">
        <x:v>Core formulas</x:v>
      </x:c>
    </x:row>
    <x:row r="23">
      <x:c r="A23" s="106" t="str">
        <x:v>M01</x:v>
      </x:c>
      <x:c r="B23" s="107" t="str">
        <x:v>Serious-app probability</x:v>
      </x:c>
      <x:c r="C23" s="107" t="str">
        <x:v>p_serious = p_RC_ever_hit x k_current_given_hit x k_transfer</x:v>
      </x:c>
      <x:c r="D23" s="107" t="str"/>
      <x:c r="E23" s="107" t="str"/>
      <x:c r="F23" s="107" t="str"/>
      <x:c r="G23" s="107" t="str"/>
      <x:c r="H23" s="108" t="str"/>
    </x:row>
    <x:row r="24">
      <x:c r="A24" s="109" t="str">
        <x:v>M03</x:v>
      </x:c>
      <x:c r="B24" s="110" t="str">
        <x:v>Denominator mixture</x:v>
      </x:c>
      <x:c r="C24" s="110" t="str">
        <x:v>p_D = sum_j w_Dj p_j</x:v>
      </x:c>
      <x:c r="D24" s="110" t="str"/>
      <x:c r="E24" s="110" t="str"/>
      <x:c r="F24" s="110" t="str"/>
      <x:c r="G24" s="110" t="str"/>
      <x:c r="H24" s="111" t="str"/>
    </x:row>
    <x:row r="25">
      <x:c r="A25" s="109" t="str">
        <x:v>M04</x:v>
      </x:c>
      <x:c r="B25" s="110" t="str">
        <x:v>Developer portfolio</x:v>
      </x:c>
      <x:c r="C25" s="110" t="str">
        <x:v>p_dev = p_app + d x (weighted any-hit - p_app) + portfolio bonus</x:v>
      </x:c>
      <x:c r="D25" s="110" t="str"/>
      <x:c r="E25" s="110" t="str"/>
      <x:c r="F25" s="110" t="str"/>
      <x:c r="G25" s="110" t="str"/>
      <x:c r="H25" s="111" t="str"/>
    </x:row>
    <x:row r="26">
      <x:c r="A26" s="109" t="str">
        <x:v>M05</x:v>
      </x:c>
      <x:c r="B26" s="110" t="str">
        <x:v>Sustained revenue</x:v>
      </x:c>
      <x:c r="C26" s="110" t="str">
        <x:v>p_sustained = p_current x persistence factor</x:v>
      </x:c>
      <x:c r="D26" s="110" t="str"/>
      <x:c r="E26" s="110" t="str"/>
      <x:c r="F26" s="110" t="str"/>
      <x:c r="G26" s="110" t="str"/>
      <x:c r="H26" s="111" t="str"/>
    </x:row>
    <x:row r="27">
      <x:c r="A27" s="112" t="str">
        <x:v>M06</x:v>
      </x:c>
      <x:c r="B27" s="113" t="str">
        <x:v>Uncertainty</x:v>
      </x:c>
      <x:c r="C27" s="113" t="str">
        <x:v>2.5th / 50th / 97.5th percentiles of 500,000 draws; seed 20260714</x:v>
      </x:c>
      <x:c r="D27" s="113" t="str"/>
      <x:c r="E27" s="113" t="str"/>
      <x:c r="F27" s="113" t="str"/>
      <x:c r="G27" s="113" t="str"/>
      <x:c r="H27" s="114" t="str"/>
    </x:row>
  </x:sheetData>
  <x:mergeCells>
    <x:mergeCell ref="A1:H1"/>
    <x:mergeCell ref="A2:H2"/>
    <x:mergeCell ref="A4:H4"/>
    <x:mergeCell ref="A5:H7"/>
    <x:mergeCell ref="A17:H20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2" hidden="0" customWidth="1"/>
    <x:col min="3" max="3" width="24" hidden="0" customWidth="1"/>
    <x:col min="4" max="4" width="12" hidden="0" customWidth="1"/>
    <x:col min="5" max="5" width="12" hidden="0" customWidth="1"/>
    <x:col min="6" max="6" width="12" hidden="0" customWidth="1"/>
    <x:col min="7" max="7" width="32" hidden="0" customWidth="1"/>
  </x:cols>
  <x:sheetData>
    <x:row r="1" ht="30" customHeight="1">
      <x:c r="A1" s="5" t="str">
        <x:v>Denominator Model</x:v>
      </x:c>
    </x:row>
    <x:row r="2" ht="28" customHeight="1">
      <x:c r="A2" s="12" t="str">
        <x:v>Monte Carlo plausible ranges by population, unit of analysis, and persistence definition.</x:v>
      </x:c>
    </x:row>
    <x:row r="4">
      <x:c r="A4" s="28" t="str">
        <x:v>Denominator</x:v>
      </x:c>
      <x:c r="B4" s="28" t="str">
        <x:v>Unit</x:v>
      </x:c>
      <x:c r="C4" s="28" t="str">
        <x:v>Revenue state</x:v>
      </x:c>
      <x:c r="D4" s="28" t="str">
        <x:v>Lower</x:v>
      </x:c>
      <x:c r="E4" s="28" t="str">
        <x:v>Central</x:v>
      </x:c>
      <x:c r="F4" s="28" t="str">
        <x:v>Upper</x:v>
      </x:c>
      <x:c r="G4" s="28" t="str">
        <x:v>Interpretation</x:v>
      </x:c>
    </x:row>
    <x:row r="5">
      <x:c r="A5" s="106" t="str">
        <x:v>A. All listed apps</x:v>
      </x:c>
      <x:c r="B5" s="107" t="str">
        <x:v>App</x:v>
      </x:c>
      <x:c r="C5" s="107" t="str">
        <x:v>Current month</x:v>
      </x:c>
      <x:c r="D5" s="148" t="n">
        <x:v>0.0031055651747177353</x:v>
      </x:c>
      <x:c r="E5" s="148" t="n">
        <x:v>0.009800557054831217</x:v>
      </x:c>
      <x:c r="F5" s="148" t="n">
        <x:v>0.027438196087454646</x:v>
      </x:c>
      <x:c r="G5" s="108" t="str"/>
    </x:row>
    <x:row r="6">
      <x:c r="A6" s="109" t="str">
        <x:v>B. Active apps</x:v>
      </x:c>
      <x:c r="B6" s="110" t="str">
        <x:v>App</x:v>
      </x:c>
      <x:c r="C6" s="110" t="str">
        <x:v>Current month</x:v>
      </x:c>
      <x:c r="D6" s="149" t="n">
        <x:v>0.016005538216736795</x:v>
      </x:c>
      <x:c r="E6" s="149" t="n">
        <x:v>0.03254489696259631</x:v>
      </x:c>
      <x:c r="F6" s="149" t="n">
        <x:v>0.05982105582648006</x:v>
      </x:c>
      <x:c r="G6" s="111" t="str"/>
    </x:row>
    <x:row r="7">
      <x:c r="A7" s="109" t="str">
        <x:v>C. Active monetized apps</x:v>
      </x:c>
      <x:c r="B7" s="110" t="str">
        <x:v>App</x:v>
      </x:c>
      <x:c r="C7" s="110" t="str">
        <x:v>Current month</x:v>
      </x:c>
      <x:c r="D7" s="149" t="n">
        <x:v>0.04352664812026922</x:v>
      </x:c>
      <x:c r="E7" s="149" t="n">
        <x:v>0.07680061725552446</x:v>
      </x:c>
      <x:c r="F7" s="149" t="n">
        <x:v>0.1237757974169325</x:v>
      </x:c>
      <x:c r="G7" s="111" t="str"/>
    </x:row>
    <x:row r="8">
      <x:c r="A8" s="109" t="str">
        <x:v>D. Independently owned active apps</x:v>
      </x:c>
      <x:c r="B8" s="110" t="str">
        <x:v>App</x:v>
      </x:c>
      <x:c r="C8" s="110" t="str">
        <x:v>Current month</x:v>
      </x:c>
      <x:c r="D8" s="149" t="n">
        <x:v>0.023966056903858998</x:v>
      </x:c>
      <x:c r="E8" s="149" t="n">
        <x:v>0.04495170541416897</x:v>
      </x:c>
      <x:c r="F8" s="149" t="n">
        <x:v>0.07880472448989749</x:v>
      </x:c>
      <x:c r="G8" s="111" t="str"/>
    </x:row>
    <x:row r="9">
      <x:c r="A9" s="109" t="str">
        <x:v>E. Serious commercial attempts</x:v>
      </x:c>
      <x:c r="B9" s="110" t="str">
        <x:v>App</x:v>
      </x:c>
      <x:c r="C9" s="110" t="str">
        <x:v>Current month</x:v>
      </x:c>
      <x:c r="D9" s="149" t="n">
        <x:v>0.052553746694904445</x:v>
      </x:c>
      <x:c r="E9" s="149" t="n">
        <x:v>0.10232853764617297</x:v>
      </x:c>
      <x:c r="F9" s="149" t="n">
        <x:v>0.1743522965752049</x:v>
      </x:c>
      <x:c r="G9" s="111" t="str"/>
    </x:row>
    <x:row r="10">
      <x:c r="A10" s="109" t="str">
        <x:v>F. Maintained for at least 12 months</x:v>
      </x:c>
      <x:c r="B10" s="110" t="str">
        <x:v>App</x:v>
      </x:c>
      <x:c r="C10" s="110" t="str">
        <x:v>Current month</x:v>
      </x:c>
      <x:c r="D10" s="149" t="n">
        <x:v>0.06205241707741573</x:v>
      </x:c>
      <x:c r="E10" s="149" t="n">
        <x:v>0.1225926538017223</x:v>
      </x:c>
      <x:c r="F10" s="149" t="n">
        <x:v>0.21399355336536524</x:v>
      </x:c>
      <x:c r="G10" s="111" t="str"/>
    </x:row>
    <x:row r="11">
      <x:c r="A11" s="109" t="str">
        <x:v>A. All listed apps</x:v>
      </x:c>
      <x:c r="B11" s="110" t="str">
        <x:v>Developer</x:v>
      </x:c>
      <x:c r="C11" s="110" t="str">
        <x:v>Current month</x:v>
      </x:c>
      <x:c r="D11" s="149" t="n">
        <x:v>0.00517505074569171</x:v>
      </x:c>
      <x:c r="E11" s="149" t="n">
        <x:v>0.015483980892646526</x:v>
      </x:c>
      <x:c r="F11" s="149" t="n">
        <x:v>0.04244774566648626</x:v>
      </x:c>
      <x:c r="G11" s="111" t="str"/>
    </x:row>
    <x:row r="12">
      <x:c r="A12" s="109" t="str">
        <x:v>B. Active apps</x:v>
      </x:c>
      <x:c r="B12" s="110" t="str">
        <x:v>Developer</x:v>
      </x:c>
      <x:c r="C12" s="110" t="str">
        <x:v>Current month</x:v>
      </x:c>
      <x:c r="D12" s="149" t="n">
        <x:v>0.025884410695639074</x:v>
      </x:c>
      <x:c r="E12" s="149" t="n">
        <x:v>0.05092743632089356</x:v>
      </x:c>
      <x:c r="F12" s="149" t="n">
        <x:v>0.09161097538074349</x:v>
      </x:c>
      <x:c r="G12" s="111" t="str"/>
    </x:row>
    <x:row r="13">
      <x:c r="A13" s="109" t="str">
        <x:v>C. Active monetized apps</x:v>
      </x:c>
      <x:c r="B13" s="110" t="str">
        <x:v>Developer</x:v>
      </x:c>
      <x:c r="C13" s="110" t="str">
        <x:v>Current month</x:v>
      </x:c>
      <x:c r="D13" s="149" t="n">
        <x:v>0.06834353398615692</x:v>
      </x:c>
      <x:c r="E13" s="149" t="n">
        <x:v>0.11668873738021937</x:v>
      </x:c>
      <x:c r="F13" s="149" t="n">
        <x:v>0.18250907828861032</x:v>
      </x:c>
      <x:c r="G13" s="111" t="str"/>
    </x:row>
    <x:row r="14">
      <x:c r="A14" s="109" t="str">
        <x:v>D. Independently owned active apps</x:v>
      </x:c>
      <x:c r="B14" s="110" t="str">
        <x:v>Developer</x:v>
      </x:c>
      <x:c r="C14" s="110" t="str">
        <x:v>Current month</x:v>
      </x:c>
      <x:c r="D14" s="149" t="n">
        <x:v>0.038854916726234756</x:v>
      </x:c>
      <x:c r="E14" s="149" t="n">
        <x:v>0.07038230780992999</x:v>
      </x:c>
      <x:c r="F14" s="149" t="n">
        <x:v>0.11995103181835119</x:v>
      </x:c>
      <x:c r="G14" s="111" t="str"/>
    </x:row>
    <x:row r="15">
      <x:c r="A15" s="109" t="str">
        <x:v>E. Serious commercial attempts</x:v>
      </x:c>
      <x:c r="B15" s="110" t="str">
        <x:v>Developer</x:v>
      </x:c>
      <x:c r="C15" s="110" t="str">
        <x:v>Current month</x:v>
      </x:c>
      <x:c r="D15" s="149" t="n">
        <x:v>0.08360258897371145</x:v>
      </x:c>
      <x:c r="E15" s="149" t="n">
        <x:v>0.15408261737906556</x:v>
      </x:c>
      <x:c r="F15" s="149" t="n">
        <x:v>0.25019874900428574</x:v>
      </x:c>
      <x:c r="G15" s="111" t="str"/>
    </x:row>
    <x:row r="16">
      <x:c r="A16" s="109" t="str">
        <x:v>F. Maintained for at least 12 months</x:v>
      </x:c>
      <x:c r="B16" s="110" t="str">
        <x:v>Developer</x:v>
      </x:c>
      <x:c r="C16" s="110" t="str">
        <x:v>Current month</x:v>
      </x:c>
      <x:c r="D16" s="149" t="n">
        <x:v>0.09796952614982062</x:v>
      </x:c>
      <x:c r="E16" s="149" t="n">
        <x:v>0.18205714683553487</x:v>
      </x:c>
      <x:c r="F16" s="149" t="n">
        <x:v>0.29965280883215145</x:v>
      </x:c>
      <x:c r="G16" s="111" t="str"/>
    </x:row>
    <x:row r="17">
      <x:c r="A17" s="109" t="str">
        <x:v>A. All listed apps</x:v>
      </x:c>
      <x:c r="B17" s="110" t="str">
        <x:v>App</x:v>
      </x:c>
      <x:c r="C17" s="110" t="str">
        <x:v>3-month sustained</x:v>
      </x:c>
      <x:c r="D17" s="149" t="n">
        <x:v>0.0021636339908223546</x:v>
      </x:c>
      <x:c r="E17" s="149" t="n">
        <x:v>0.006971791597730692</x:v>
      </x:c>
      <x:c r="F17" s="149" t="n">
        <x:v>0.020065566714196917</x:v>
      </x:c>
      <x:c r="G17" s="111" t="str"/>
    </x:row>
    <x:row r="18">
      <x:c r="A18" s="109" t="str">
        <x:v>B. Active apps</x:v>
      </x:c>
      <x:c r="B18" s="110" t="str">
        <x:v>App</x:v>
      </x:c>
      <x:c r="C18" s="110" t="str">
        <x:v>3-month sustained</x:v>
      </x:c>
      <x:c r="D18" s="149" t="n">
        <x:v>0.0109531501003582</x:v>
      </x:c>
      <x:c r="E18" s="149" t="n">
        <x:v>0.02315876536039828</x:v>
      </x:c>
      <x:c r="F18" s="149" t="n">
        <x:v>0.04431071018193685</x:v>
      </x:c>
      <x:c r="G18" s="111" t="str"/>
    </x:row>
    <x:row r="19">
      <x:c r="A19" s="109" t="str">
        <x:v>C. Active monetized apps</x:v>
      </x:c>
      <x:c r="B19" s="110" t="str">
        <x:v>App</x:v>
      </x:c>
      <x:c r="C19" s="110" t="str">
        <x:v>3-month sustained</x:v>
      </x:c>
      <x:c r="D19" s="149" t="n">
        <x:v>0.02958640808056413</x:v>
      </x:c>
      <x:c r="E19" s="149" t="n">
        <x:v>0.05461278433501717</x:v>
      </x:c>
      <x:c r="F19" s="149" t="n">
        <x:v>0.0924722677676117</x:v>
      </x:c>
      <x:c r="G19" s="111" t="str"/>
    </x:row>
    <x:row r="20">
      <x:c r="A20" s="109" t="str">
        <x:v>D. Independently owned active apps</x:v>
      </x:c>
      <x:c r="B20" s="110" t="str">
        <x:v>App</x:v>
      </x:c>
      <x:c r="C20" s="110" t="str">
        <x:v>3-month sustained</x:v>
      </x:c>
      <x:c r="D20" s="149" t="n">
        <x:v>0.01631170377090743</x:v>
      </x:c>
      <x:c r="E20" s="149" t="n">
        <x:v>0.03198760495256471</x:v>
      </x:c>
      <x:c r="F20" s="149" t="n">
        <x:v>0.058482867363742634</x:v>
      </x:c>
      <x:c r="G20" s="111" t="str"/>
    </x:row>
    <x:row r="21">
      <x:c r="A21" s="109" t="str">
        <x:v>E. Serious commercial attempts</x:v>
      </x:c>
      <x:c r="B21" s="110" t="str">
        <x:v>App</x:v>
      </x:c>
      <x:c r="C21" s="110" t="str">
        <x:v>3-month sustained</x:v>
      </x:c>
      <x:c r="D21" s="149" t="n">
        <x:v>0.0358821135434717</x:v>
      </x:c>
      <x:c r="E21" s="149" t="n">
        <x:v>0.07276248753968412</x:v>
      </x:c>
      <x:c r="F21" s="149" t="n">
        <x:v>0.13013156401784898</x:v>
      </x:c>
      <x:c r="G21" s="111" t="str"/>
    </x:row>
    <x:row r="22">
      <x:c r="A22" s="109" t="str">
        <x:v>F. Maintained for at least 12 months</x:v>
      </x:c>
      <x:c r="B22" s="110" t="str">
        <x:v>App</x:v>
      </x:c>
      <x:c r="C22" s="110" t="str">
        <x:v>3-month sustained</x:v>
      </x:c>
      <x:c r="D22" s="149" t="n">
        <x:v>0.042369073551722425</x:v>
      </x:c>
      <x:c r="E22" s="149" t="n">
        <x:v>0.08715790525410429</x:v>
      </x:c>
      <x:c r="F22" s="149" t="n">
        <x:v>0.15944223445332698</x:v>
      </x:c>
      <x:c r="G22" s="111" t="str"/>
    </x:row>
    <x:row r="23">
      <x:c r="A23" s="109" t="str">
        <x:v>A. All listed apps</x:v>
      </x:c>
      <x:c r="B23" s="110" t="str">
        <x:v>Developer</x:v>
      </x:c>
      <x:c r="C23" s="110" t="str">
        <x:v>3-month sustained</x:v>
      </x:c>
      <x:c r="D23" s="149" t="n">
        <x:v>0.003971009144376541</x:v>
      </x:c>
      <x:c r="E23" s="149" t="n">
        <x:v>0.01207696837199198</x:v>
      </x:c>
      <x:c r="F23" s="149" t="n">
        <x:v>0.03364479455502138</x:v>
      </x:c>
      <x:c r="G23" s="111" t="str"/>
    </x:row>
    <x:row r="24">
      <x:c r="A24" s="109" t="str">
        <x:v>B. Active apps</x:v>
      </x:c>
      <x:c r="B24" s="110" t="str">
        <x:v>Developer</x:v>
      </x:c>
      <x:c r="C24" s="110" t="str">
        <x:v>3-month sustained</x:v>
      </x:c>
      <x:c r="D24" s="149" t="n">
        <x:v>0.019657009933045505</x:v>
      </x:c>
      <x:c r="E24" s="149" t="n">
        <x:v>0.039688458437476135</x:v>
      </x:c>
      <x:c r="F24" s="149" t="n">
        <x:v>0.07335735316389273</x:v>
      </x:c>
      <x:c r="G24" s="111" t="str"/>
    </x:row>
    <x:row r="25">
      <x:c r="A25" s="109" t="str">
        <x:v>C. Active monetized apps</x:v>
      </x:c>
      <x:c r="B25" s="110" t="str">
        <x:v>Developer</x:v>
      </x:c>
      <x:c r="C25" s="110" t="str">
        <x:v>3-month sustained</x:v>
      </x:c>
      <x:c r="D25" s="149" t="n">
        <x:v>0.05163324221334906</x:v>
      </x:c>
      <x:c r="E25" s="149" t="n">
        <x:v>0.09091217767816297</x:v>
      </x:c>
      <x:c r="F25" s="149" t="n">
        <x:v>0.14741092755063123</x:v>
      </x:c>
      <x:c r="G25" s="111" t="str"/>
    </x:row>
    <x:row r="26">
      <x:c r="A26" s="109" t="str">
        <x:v>D. Independently owned active apps</x:v>
      </x:c>
      <x:c r="B26" s="110" t="str">
        <x:v>Developer</x:v>
      </x:c>
      <x:c r="C26" s="110" t="str">
        <x:v>3-month sustained</x:v>
      </x:c>
      <x:c r="D26" s="149" t="n">
        <x:v>0.029454973801746193</x:v>
      </x:c>
      <x:c r="E26" s="149" t="n">
        <x:v>0.054896650984244885</x:v>
      </x:c>
      <x:c r="F26" s="149" t="n">
        <x:v>0.09625681624054257</x:v>
      </x:c>
      <x:c r="G26" s="111" t="str"/>
    </x:row>
    <x:row r="27">
      <x:c r="A27" s="109" t="str">
        <x:v>E. Serious commercial attempts</x:v>
      </x:c>
      <x:c r="B27" s="110" t="str">
        <x:v>Developer</x:v>
      </x:c>
      <x:c r="C27" s="110" t="str">
        <x:v>3-month sustained</x:v>
      </x:c>
      <x:c r="D27" s="149" t="n">
        <x:v>0.06341137585133866</x:v>
      </x:c>
      <x:c r="E27" s="149" t="n">
        <x:v>0.12002086415790092</x:v>
      </x:c>
      <x:c r="F27" s="149" t="n">
        <x:v>0.20179481868509974</x:v>
      </x:c>
      <x:c r="G27" s="111" t="str"/>
    </x:row>
    <x:row r="28">
      <x:c r="A28" s="109" t="str">
        <x:v>F. Maintained for at least 12 months</x:v>
      </x:c>
      <x:c r="B28" s="110" t="str">
        <x:v>Developer</x:v>
      </x:c>
      <x:c r="C28" s="110" t="str">
        <x:v>3-month sustained</x:v>
      </x:c>
      <x:c r="D28" s="149" t="n">
        <x:v>0.07431550040669964</x:v>
      </x:c>
      <x:c r="E28" s="149" t="n">
        <x:v>0.14189466892267416</x:v>
      </x:c>
      <x:c r="F28" s="149" t="n">
        <x:v>0.2415308837075656</x:v>
      </x:c>
      <x:c r="G28" s="111" t="str"/>
    </x:row>
    <x:row r="29">
      <x:c r="A29" s="109" t="str">
        <x:v>A. All listed apps</x:v>
      </x:c>
      <x:c r="B29" s="110" t="str">
        <x:v>App</x:v>
      </x:c>
      <x:c r="C29" s="110" t="str">
        <x:v>6-month sustained sensitivity</x:v>
      </x:c>
      <x:c r="D29" s="149" t="n">
        <x:v>0.0017065474084736656</x:v>
      </x:c>
      <x:c r="E29" s="149" t="n">
        <x:v>0.005643915068287229</x:v>
      </x:c>
      <x:c r="F29" s="149" t="n">
        <x:v>0.016514916235178465</x:v>
      </x:c>
      <x:c r="G29" s="111" t="str"/>
    </x:row>
    <x:row r="30">
      <x:c r="A30" s="109" t="str">
        <x:v>B. Active apps</x:v>
      </x:c>
      <x:c r="B30" s="110" t="str">
        <x:v>App</x:v>
      </x:c>
      <x:c r="C30" s="110" t="str">
        <x:v>6-month sustained sensitivity</x:v>
      </x:c>
      <x:c r="D30" s="149" t="n">
        <x:v>0.008575833563816077</x:v>
      </x:c>
      <x:c r="E30" s="149" t="n">
        <x:v>0.018743964598285354</x:v>
      </x:c>
      <x:c r="F30" s="149" t="n">
        <x:v>0.036982179188720446</x:v>
      </x:c>
      <x:c r="G30" s="111" t="str"/>
    </x:row>
    <x:row r="31">
      <x:c r="A31" s="109" t="str">
        <x:v>C. Active monetized apps</x:v>
      </x:c>
      <x:c r="B31" s="110" t="str">
        <x:v>App</x:v>
      </x:c>
      <x:c r="C31" s="110" t="str">
        <x:v>6-month sustained sensitivity</x:v>
      </x:c>
      <x:c r="D31" s="149" t="n">
        <x:v>0.022877682613070934</x:v>
      </x:c>
      <x:c r="E31" s="149" t="n">
        <x:v>0.044238457083399435</x:v>
      </x:c>
      <x:c r="F31" s="149" t="n">
        <x:v>0.07775652146346532</x:v>
      </x:c>
      <x:c r="G31" s="111" t="str"/>
    </x:row>
    <x:row r="32">
      <x:c r="A32" s="109" t="str">
        <x:v>D. Independently owned active apps</x:v>
      </x:c>
      <x:c r="B32" s="110" t="str">
        <x:v>App</x:v>
      </x:c>
      <x:c r="C32" s="110" t="str">
        <x:v>6-month sustained sensitivity</x:v>
      </x:c>
      <x:c r="D32" s="149" t="n">
        <x:v>0.01269797530153731</x:v>
      </x:c>
      <x:c r="E32" s="149" t="n">
        <x:v>0.025894706847555016</x:v>
      </x:c>
      <x:c r="F32" s="149" t="n">
        <x:v>0.048855794511818054</x:v>
      </x:c>
      <x:c r="G32" s="111" t="str"/>
    </x:row>
    <x:row r="33">
      <x:c r="A33" s="109" t="str">
        <x:v>E. Serious commercial attempts</x:v>
      </x:c>
      <x:c r="B33" s="110" t="str">
        <x:v>App</x:v>
      </x:c>
      <x:c r="C33" s="110" t="str">
        <x:v>6-month sustained sensitivity</x:v>
      </x:c>
      <x:c r="D33" s="149" t="n">
        <x:v>0.02800814197953124</x:v>
      </x:c>
      <x:c r="E33" s="149" t="n">
        <x:v>0.058824286926240955</x:v>
      </x:c>
      <x:c r="F33" s="149" t="n">
        <x:v>0.10913779267489726</x:v>
      </x:c>
      <x:c r="G33" s="111" t="str"/>
    </x:row>
    <x:row r="34">
      <x:c r="A34" s="109" t="str">
        <x:v>F. Maintained for at least 12 months</x:v>
      </x:c>
      <x:c r="B34" s="110" t="str">
        <x:v>App</x:v>
      </x:c>
      <x:c r="C34" s="110" t="str">
        <x:v>6-month sustained sensitivity</x:v>
      </x:c>
      <x:c r="D34" s="149" t="n">
        <x:v>0.03317930472726766</x:v>
      </x:c>
      <x:c r="E34" s="149" t="n">
        <x:v>0.07048927054986986</x:v>
      </x:c>
      <x:c r="F34" s="149" t="n">
        <x:v>0.13332143870530425</x:v>
      </x:c>
      <x:c r="G34" s="111" t="str"/>
    </x:row>
    <x:row r="35">
      <x:c r="A35" s="109" t="str">
        <x:v>A. All listed apps</x:v>
      </x:c>
      <x:c r="B35" s="110" t="str">
        <x:v>Developer</x:v>
      </x:c>
      <x:c r="C35" s="110" t="str">
        <x:v>6-month sustained sensitivity</x:v>
      </x:c>
      <x:c r="D35" s="149" t="n">
        <x:v>0.0032428128829246282</x:v>
      </x:c>
      <x:c r="E35" s="149" t="n">
        <x:v>0.009991807008746679</x:v>
      </x:c>
      <x:c r="F35" s="149" t="n">
        <x:v>0.028217058022895508</x:v>
      </x:c>
      <x:c r="G35" s="111" t="str"/>
    </x:row>
    <x:row r="36">
      <x:c r="A36" s="109" t="str">
        <x:v>B. Active apps</x:v>
      </x:c>
      <x:c r="B36" s="110" t="str">
        <x:v>Developer</x:v>
      </x:c>
      <x:c r="C36" s="110" t="str">
        <x:v>6-month sustained sensitivity</x:v>
      </x:c>
      <x:c r="D36" s="149" t="n">
        <x:v>0.015937144738262084</x:v>
      </x:c>
      <x:c r="E36" s="149" t="n">
        <x:v>0.03284354211209897</x:v>
      </x:c>
      <x:c r="F36" s="149" t="n">
        <x:v>0.06204421574954597</x:v>
      </x:c>
      <x:c r="G36" s="111" t="str"/>
    </x:row>
    <x:row r="37">
      <x:c r="A37" s="109" t="str">
        <x:v>C. Active monetized apps</x:v>
      </x:c>
      <x:c r="B37" s="110" t="str">
        <x:v>Developer</x:v>
      </x:c>
      <x:c r="C37" s="110" t="str">
        <x:v>6-month sustained sensitivity</x:v>
      </x:c>
      <x:c r="D37" s="149" t="n">
        <x:v>0.041620751224543485</x:v>
      </x:c>
      <x:c r="E37" s="149" t="n">
        <x:v>0.07515810116345417</x:v>
      </x:c>
      <x:c r="F37" s="149" t="n">
        <x:v>0.1253546891781958</x:v>
      </x:c>
      <x:c r="G37" s="111" t="str"/>
    </x:row>
    <x:row r="38">
      <x:c r="A38" s="109" t="str">
        <x:v>D. Independently owned active apps</x:v>
      </x:c>
      <x:c r="B38" s="110" t="str">
        <x:v>Developer</x:v>
      </x:c>
      <x:c r="C38" s="110" t="str">
        <x:v>6-month sustained sensitivity</x:v>
      </x:c>
      <x:c r="D38" s="149" t="n">
        <x:v>0.023766710538932583</x:v>
      </x:c>
      <x:c r="E38" s="149" t="n">
        <x:v>0.04538070760672415</x:v>
      </x:c>
      <x:c r="F38" s="149" t="n">
        <x:v>0.08152722526684614</x:v>
      </x:c>
      <x:c r="G38" s="111" t="str"/>
    </x:row>
    <x:row r="39">
      <x:c r="A39" s="109" t="str">
        <x:v>E. Serious commercial attempts</x:v>
      </x:c>
      <x:c r="B39" s="110" t="str">
        <x:v>Developer</x:v>
      </x:c>
      <x:c r="C39" s="110" t="str">
        <x:v>6-month sustained sensitivity</x:v>
      </x:c>
      <x:c r="D39" s="149" t="n">
        <x:v>0.05130404558954602</x:v>
      </x:c>
      <x:c r="E39" s="149" t="n">
        <x:v>0.09924664337449096</x:v>
      </x:c>
      <x:c r="F39" s="149" t="n">
        <x:v>0.17141814319791993</x:v>
      </x:c>
      <x:c r="G39" s="111" t="str"/>
    </x:row>
    <x:row r="40">
      <x:c r="A40" s="112" t="str">
        <x:v>F. Maintained for at least 12 months</x:v>
      </x:c>
      <x:c r="B40" s="113" t="str">
        <x:v>Developer</x:v>
      </x:c>
      <x:c r="C40" s="113" t="str">
        <x:v>6-month sustained sensitivity</x:v>
      </x:c>
      <x:c r="D40" s="150" t="n">
        <x:v>0.06015952585254938</x:v>
      </x:c>
      <x:c r="E40" s="150" t="n">
        <x:v>0.11725474830006466</x:v>
      </x:c>
      <x:c r="F40" s="150" t="n">
        <x:v>0.20497437012407238</x:v>
      </x:c>
      <x:c r="G40" s="114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6" hidden="0" customWidth="1"/>
    <x:col min="4" max="4" width="32" hidden="0" customWidth="1"/>
    <x:col min="5" max="5" width="3" hidden="0" customWidth="1"/>
    <x:col min="6" max="6" width="39" hidden="0" customWidth="1"/>
    <x:col min="7" max="7" width="12" hidden="0" customWidth="1"/>
    <x:col min="8" max="8" width="12" hidden="0" customWidth="1"/>
    <x:col min="9" max="9" width="12" hidden="0" customWidth="1"/>
    <x:col min="10" max="10" width="20" hidden="0" customWidth="1"/>
    <x:col min="11" max="11" width="12" hidden="0" customWidth="1"/>
    <x:col min="12" max="12" width="13" hidden="0" customWidth="1"/>
  </x:cols>
  <x:sheetData>
    <x:row r="1" ht="30" customHeight="1">
      <x:c r="A1" s="5" t="str">
        <x:v>Executive Estimates</x:v>
      </x:c>
    </x:row>
    <x:row r="2" ht="28" customHeight="1">
      <x:c r="A2" s="12" t="str">
        <x:v>Headline estimate, denominator ladder, and the bridge from observed subscription evidence.</x:v>
      </x:c>
    </x:row>
    <x:row r="4">
      <x:c r="A4" s="86" t="str">
        <x:v>Observed anchor and bridge assumptions</x:v>
      </x:c>
      <x:c r="F4" s="86" t="str">
        <x:v>Primary answer</x:v>
      </x:c>
    </x:row>
    <x:row r="5">
      <x:c r="A5" s="28" t="str">
        <x:v>Input</x:v>
      </x:c>
      <x:c r="B5" s="28" t="str">
        <x:v>Value</x:v>
      </x:c>
      <x:c r="C5" s="28" t="str">
        <x:v>Source / status</x:v>
      </x:c>
      <x:c r="D5" s="28" t="str">
        <x:v>Interpretation</x:v>
      </x:c>
      <x:c r="F5" s="28" t="str">
        <x:v>Metric</x:v>
      </x:c>
      <x:c r="G5" s="28" t="str">
        <x:v>Lower</x:v>
      </x:c>
      <x:c r="H5" s="28" t="str">
        <x:v>Central</x:v>
      </x:c>
      <x:c r="I5" s="28" t="str">
        <x:v>Upper</x:v>
      </x:c>
      <x:c r="J5" s="28" t="str">
        <x:v>Basis</x:v>
      </x:c>
      <x:c r="K5" s="28" t="str">
        <x:v>Unit</x:v>
      </x:c>
      <x:c r="L5" s="28" t="str">
        <x:v>Status</x:v>
      </x:c>
    </x:row>
    <x:row r="6">
      <x:c r="A6" s="45" t="str">
        <x:v>RevenueCat: ever hit $1k within two years</x:v>
      </x:c>
      <x:c r="B6" s="200" t="n">
        <x:v>0.173</x:v>
      </x:c>
      <x:c r="C6" s="159" t="str">
        <x:v>S07</x:v>
      </x:c>
      <x:c r="D6" s="46" t="str">
        <x:v>Selected newly launched subscription apps</x:v>
      </x:c>
      <x:c r="F6" s="196" t="str">
        <x:v>Serious independent developers, current</x:v>
      </x:c>
      <x:c r="G6" s="197" t="n">
        <x:f>'Denominator Model'!D15</x:f>
        <x:v>0.08360258897371145</x:v>
      </x:c>
      <x:c r="H6" s="197" t="n">
        <x:f>'Denominator Model'!E15</x:f>
        <x:v>0.15408261737906556</x:v>
      </x:c>
      <x:c r="I6" s="197" t="n">
        <x:f>'Denominator Model'!F15</x:f>
        <x:v>0.25019874900428574</x:v>
      </x:c>
      <x:c r="J6" s="159" t="str">
        <x:v>Gross monthly revenue</x:v>
      </x:c>
      <x:c r="K6" s="159" t="str">
        <x:v>Developer</x:v>
      </x:c>
      <x:c r="L6" s="46" t="str">
        <x:v>Primary</x:v>
      </x:c>
    </x:row>
    <x:row r="7">
      <x:c r="A7" s="47" t="str">
        <x:v>Current-month share of ever-hit apps</x:v>
      </x:c>
      <x:c r="B7" s="201" t="n">
        <x:v>0.75</x:v>
      </x:c>
      <x:c r="C7" s="160" t="str">
        <x:v>M01 assumption</x:v>
      </x:c>
      <x:c r="D7" s="48" t="str">
        <x:v>Persistence bridge; triangular 35%-95%</x:v>
      </x:c>
      <x:c r="F7" s="47" t="str">
        <x:v>Serious independent apps, current</x:v>
      </x:c>
      <x:c r="G7" s="206" t="n">
        <x:f>'Denominator Model'!D9</x:f>
        <x:v>0.052553746694904445</x:v>
      </x:c>
      <x:c r="H7" s="206" t="n">
        <x:f>'Denominator Model'!E9</x:f>
        <x:v>0.10232853764617297</x:v>
      </x:c>
      <x:c r="I7" s="206" t="n">
        <x:f>'Denominator Model'!F9</x:f>
        <x:v>0.1743522965752049</x:v>
      </x:c>
      <x:c r="J7" s="160" t="str">
        <x:v>Gross monthly revenue</x:v>
      </x:c>
      <x:c r="K7" s="160" t="str">
        <x:v>App</x:v>
      </x:c>
      <x:c r="L7" s="48" t="str">
        <x:v>Primary</x:v>
      </x:c>
    </x:row>
    <x:row r="8">
      <x:c r="A8" s="47" t="str">
        <x:v>Transfer to all serious app models</x:v>
      </x:c>
      <x:c r="B8" s="201" t="n">
        <x:v>0.85</x:v>
      </x:c>
      <x:c r="C8" s="160" t="str">
        <x:v>M01 assumption</x:v>
      </x:c>
      <x:c r="D8" s="48" t="str">
        <x:v>Subscription-selection adjustment; triangular 45%-135%</x:v>
      </x:c>
      <x:c r="F8" s="47" t="str">
        <x:v>Serious independent developers, 3-month sustained</x:v>
      </x:c>
      <x:c r="G8" s="206" t="n">
        <x:f>'Denominator Model'!D27</x:f>
        <x:v>0.06341137585133866</x:v>
      </x:c>
      <x:c r="H8" s="206" t="n">
        <x:f>'Denominator Model'!E27</x:f>
        <x:v>0.12002086415790092</x:v>
      </x:c>
      <x:c r="I8" s="206" t="n">
        <x:f>'Denominator Model'!F27</x:f>
        <x:v>0.20179481868509974</x:v>
      </x:c>
      <x:c r="J8" s="160" t="str">
        <x:v>Gross each month</x:v>
      </x:c>
      <x:c r="K8" s="160" t="str">
        <x:v>Developer</x:v>
      </x:c>
      <x:c r="L8" s="48" t="str">
        <x:v>Sensitivity</x:v>
      </x:c>
    </x:row>
    <x:row r="9">
      <x:c r="A9" s="47" t="str">
        <x:v>Modal app-level bridge</x:v>
      </x:c>
      <x:c r="B9" s="204" t="n">
        <x:f>PRODUCT(B6:B8)</x:f>
        <x:v>0.11028749999999998</x:v>
      </x:c>
      <x:c r="C9" s="160" t="str">
        <x:v>Formula</x:v>
      </x:c>
      <x:c r="D9" s="48" t="str">
        <x:v>Product of the three rows above</x:v>
      </x:c>
      <x:c r="F9" s="49" t="str">
        <x:v>Serious independent apps, 3-month sustained</x:v>
      </x:c>
      <x:c r="G9" s="207" t="n">
        <x:f>'Denominator Model'!D21</x:f>
        <x:v>0.0358821135434717</x:v>
      </x:c>
      <x:c r="H9" s="207" t="n">
        <x:f>'Denominator Model'!E21</x:f>
        <x:v>0.07276248753968412</x:v>
      </x:c>
      <x:c r="I9" s="207" t="n">
        <x:f>'Denominator Model'!F21</x:f>
        <x:v>0.13013156401784898</x:v>
      </x:c>
      <x:c r="J9" s="161" t="str">
        <x:v>Gross each month</x:v>
      </x:c>
      <x:c r="K9" s="161" t="str">
        <x:v>App</x:v>
      </x:c>
      <x:c r="L9" s="50" t="str">
        <x:v>Sensitivity</x:v>
      </x:c>
    </x:row>
    <x:row r="10">
      <x:c r="A10" s="49" t="str">
        <x:v>Monte Carlo app median</x:v>
      </x:c>
      <x:c r="B10" s="184" t="n">
        <x:f>'Denominator Model'!E9</x:f>
        <x:v>0.10232853764617297</x:v>
      </x:c>
      <x:c r="C10" s="161" t="str">
        <x:v>Denominator Model</x:v>
      </x:c>
      <x:c r="D10" s="50" t="str">
        <x:v>Serious commercial attempts, current month</x:v>
      </x:c>
    </x:row>
    <x:row r="13">
      <x:c r="A13" s="86" t="str">
        <x:v>Denominator ladder: current-month share above $1,000</x:v>
      </x:c>
    </x:row>
    <x:row r="14">
      <x:c r="A14" s="28" t="str">
        <x:v>Denominator</x:v>
      </x:c>
      <x:c r="B14" s="28" t="str">
        <x:v>Apps</x:v>
      </x:c>
      <x:c r="C14" s="28" t="str">
        <x:v>Developers</x:v>
      </x:c>
      <x:c r="D14" s="28" t="str">
        <x:v>Interpretation</x:v>
      </x:c>
    </x:row>
    <x:row r="15">
      <x:c r="A15" s="45" t="str">
        <x:v>A. All listed apps</x:v>
      </x:c>
      <x:c r="B15" s="188" t="n">
        <x:f>'Denominator Model'!E5</x:f>
        <x:v>0.009800557054831217</x:v>
      </x:c>
      <x:c r="C15" s="188" t="n">
        <x:f>'Denominator Model'!E11</x:f>
        <x:v>0.015483980892646526</x:v>
      </x:c>
      <x:c r="D15" s="46" t="str">
        <x:v>Denominator narrows toward economic activity</x:v>
      </x:c>
    </x:row>
    <x:row r="16">
      <x:c r="A16" s="47" t="str">
        <x:v>B. Active apps</x:v>
      </x:c>
      <x:c r="B16" s="189" t="n">
        <x:f>'Denominator Model'!E6</x:f>
        <x:v>0.03254489696259631</x:v>
      </x:c>
      <x:c r="C16" s="189" t="n">
        <x:f>'Denominator Model'!E12</x:f>
        <x:v>0.05092743632089356</x:v>
      </x:c>
      <x:c r="D16" s="48" t="str">
        <x:v>Denominator narrows toward economic activity</x:v>
      </x:c>
    </x:row>
    <x:row r="17">
      <x:c r="A17" s="47" t="str">
        <x:v>C. Active monetized apps</x:v>
      </x:c>
      <x:c r="B17" s="189" t="n">
        <x:f>'Denominator Model'!E7</x:f>
        <x:v>0.07680061725552446</x:v>
      </x:c>
      <x:c r="C17" s="189" t="n">
        <x:f>'Denominator Model'!E13</x:f>
        <x:v>0.11668873738021937</x:v>
      </x:c>
      <x:c r="D17" s="48" t="str">
        <x:v>Denominator narrows toward economic activity</x:v>
      </x:c>
    </x:row>
    <x:row r="18">
      <x:c r="A18" s="47" t="str">
        <x:v>D. Independently owned active apps</x:v>
      </x:c>
      <x:c r="B18" s="189" t="n">
        <x:f>'Denominator Model'!E8</x:f>
        <x:v>0.04495170541416897</x:v>
      </x:c>
      <x:c r="C18" s="189" t="n">
        <x:f>'Denominator Model'!E14</x:f>
        <x:v>0.07038230780992999</x:v>
      </x:c>
      <x:c r="D18" s="48" t="str">
        <x:v>Denominator narrows toward economic activity</x:v>
      </x:c>
    </x:row>
    <x:row r="19">
      <x:c r="A19" s="47" t="str">
        <x:v>E. Serious commercial attempts</x:v>
      </x:c>
      <x:c r="B19" s="189" t="n">
        <x:f>'Denominator Model'!E9</x:f>
        <x:v>0.10232853764617297</x:v>
      </x:c>
      <x:c r="C19" s="189" t="n">
        <x:f>'Denominator Model'!E15</x:f>
        <x:v>0.15408261737906556</x:v>
      </x:c>
      <x:c r="D19" s="48" t="str">
        <x:v>Denominator narrows toward economic activity</x:v>
      </x:c>
    </x:row>
    <x:row r="20">
      <x:c r="A20" s="49" t="str">
        <x:v>F. Maintained for at least 12 months</x:v>
      </x:c>
      <x:c r="B20" s="184" t="n">
        <x:f>'Denominator Model'!E10</x:f>
        <x:v>0.1225926538017223</x:v>
      </x:c>
      <x:c r="C20" s="184" t="n">
        <x:f>'Denominator Model'!E16</x:f>
        <x:v>0.18205714683553487</x:v>
      </x:c>
      <x:c r="D20" s="50" t="str">
        <x:v>Denominator narrows toward economic activity</x:v>
      </x:c>
    </x:row>
  </x:sheetData>
  <x:mergeCells>
    <x:mergeCell ref="A1:L1"/>
    <x:mergeCell ref="A2:L2"/>
    <x:mergeCell ref="A4:D4"/>
    <x:mergeCell ref="F4:L4"/>
    <x:mergeCell ref="A13:D13"/>
  </x:mergeCells>
  <x:pageMargins left="0.7" right="0.7" top="0.75" bottom="0.75" header="0.3" footer="0.3"/>
  <x:drawing xmlns:r="http://schemas.openxmlformats.org/officeDocument/2006/relationships" r:id="R22b6afd27b6847ad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42" hidden="0" customWidth="1"/>
  </x:cols>
  <x:sheetData>
    <x:row r="1" ht="30" customHeight="1">
      <x:c r="A1" s="5" t="str">
        <x:v>Definitions</x:v>
      </x:c>
    </x:row>
    <x:row r="2" ht="28" customHeight="1">
      <x:c r="A2" s="12" t="str">
        <x:v>Operational population and revenue definitions used throughout the report.</x:v>
      </x:c>
    </x:row>
    <x:row r="4">
      <x:c r="A4" s="28" t="str">
        <x:v>Term</x:v>
      </x:c>
      <x:c r="B4" s="28" t="str">
        <x:v>Definition</x:v>
      </x:c>
      <x:c r="C4" s="28" t="str">
        <x:v>Analytic note</x:v>
      </x:c>
    </x:row>
    <x:row r="5">
      <x:c r="A5" s="106" t="str">
        <x:v>Independent developer</x:v>
      </x:c>
      <x:c r="B5" s="107" t="str">
        <x:v>A person or team of no more than five full-time-equivalent workers that has economic control of the app, owns or controls the IP and revenue rights, and is not controlled by a parent company, public company, client, employer, or institutional investor. Contractors are allowed.</x:v>
      </x:c>
      <x:c r="C5" s="108" t="str">
        <x:v>Primary analytical population; tighter than “small developer.”</x:v>
      </x:c>
    </x:row>
    <x:row r="6">
      <x:c r="A6" s="109" t="str">
        <x:v>Small app publisher</x:v>
      </x:c>
      <x:c r="B6" s="110" t="str">
        <x:v>A publisher with no more than 10 FTEs and less than $1 million of trailing-12-month gross app revenue, with no controlling parent.</x:v>
      </x:c>
      <x:c r="C6" s="111" t="str">
        <x:v>Broader than independent; includes small funded companies.</x:v>
      </x:c>
    </x:row>
    <x:row r="7">
      <x:c r="A7" s="109" t="str">
        <x:v>Consumer mobile app</x:v>
      </x:c>
      <x:c r="B7" s="110" t="str">
        <x:v>A native or hybrid iOS or Android product whose primary user is an individual consumer. Excludes internal enterprise tools, client-owned apps, mobile web products, and apps that merely facilitate physical-goods sales.</x:v>
      </x:c>
      <x:c r="C7" s="111" t="str">
        <x:v>Keeps app economics distinct from commerce enabled by an app.</x:v>
      </x:c>
    </x:row>
    <x:row r="8">
      <x:c r="A8" s="109" t="str">
        <x:v>Active app</x:v>
      </x:c>
      <x:c r="B8" s="110" t="str">
        <x:v>An app that is available and functional and either was updated in the prior 24 months or had a substantive usage, search, download, rating, or review signal in the prior 12 months.</x:v>
      </x:c>
      <x:c r="C8" s="111" t="str">
        <x:v>Sensitivity: 12-month update rule vs. 24 months.</x:v>
      </x:c>
    </x:row>
    <x:row r="9">
      <x:c r="A9" s="109" t="str">
        <x:v>Commercial app</x:v>
      </x:c>
      <x:c r="B9" s="110" t="str">
        <x:v>An app with a live monetization path, or documented external monetization attributable to the app.</x:v>
      </x:c>
      <x:c r="C9" s="111" t="str">
        <x:v>Includes subscription, paid download, IAP, advertising, and commission models.</x:v>
      </x:c>
    </x:row>
    <x:row r="10">
      <x:c r="A10" s="109" t="str">
        <x:v>Meaningful commercial attempt</x:v>
      </x:c>
      <x:c r="B10" s="110" t="str">
        <x:v>An independent consumer app live for at least 90 days with functional monetization and at least one of: 1,000 lifetime installs; 10 ratings/reviews; $100 lifetime revenue; $500 launch or marketing spend; or 100 documented post-launch founder hours.</x:v>
      </x:c>
      <x:c r="C10" s="111" t="str">
        <x:v>Excludes templates, tests, abandoned prototypes, brand companions, and client work.</x:v>
      </x:c>
    </x:row>
    <x:row r="11">
      <x:c r="A11" s="109" t="str">
        <x:v>Monthly revenue</x:v>
      </x:c>
      <x:c r="B11" s="110" t="str">
        <x:v>Trailing-30-day customer receipts attributable to digital app access or use, in-app advertising, or app-mediated commission, net of refunds and indirect tax but before platform/payment fees and operating costs.</x:v>
      </x:c>
      <x:c r="C11" s="111" t="str">
        <x:v>The report’s default headline basis: gross revenue.</x:v>
      </x:c>
    </x:row>
    <x:row r="12">
      <x:c r="A12" s="109" t="str">
        <x:v>Sustained monthly revenue</x:v>
      </x:c>
      <x:c r="B12" s="110" t="str">
        <x:v>The threshold is met in each of three consecutive calendar months.</x:v>
      </x:c>
      <x:c r="C12" s="111" t="str">
        <x:v>Six-month persistence is shown as a sensitivity, not the default.</x:v>
      </x:c>
    </x:row>
    <x:row r="13">
      <x:c r="A13" s="109" t="str">
        <x:v>Gross revenue</x:v>
      </x:c>
      <x:c r="B13" s="110" t="str">
        <x:v>Customer billings attributable to the app, net of refunds and indirect tax, before store/payment fees and operating costs.</x:v>
      </x:c>
      <x:c r="C13" s="111" t="str">
        <x:v>Comparable to consumer spend only when tax/refund treatment is explicit.</x:v>
      </x:c>
    </x:row>
    <x:row r="14">
      <x:c r="A14" s="109" t="str">
        <x:v>Developer proceeds</x:v>
      </x:c>
      <x:c r="B14" s="110" t="str">
        <x:v>Gross revenue less app-store/payment fees and withholding, before hosting, APIs, support, contractors, acquisition, and personal tax.</x:v>
      </x:c>
      <x:c r="C14" s="111" t="str">
        <x:v>Apple and Google also use “proceeds” or “earnings” in program-specific ways.</x:v>
      </x:c>
    </x:row>
    <x:row r="15">
      <x:c r="A15" s="109" t="str">
        <x:v>Profit</x:v>
      </x:c>
      <x:c r="B15" s="110" t="str">
        <x:v>Developer proceeds less hosting, APIs, support, contractors, paid acquisition, content, and tools. Founder labor and personal tax are excluded from accounting profit; an economic-profit sensitivity values founder labor at market rates.</x:v>
      </x:c>
      <x:c r="C15" s="111" t="str">
        <x:v>Public revenue screenshots rarely establish profit.</x:v>
      </x:c>
    </x:row>
    <x:row r="16">
      <x:c r="A16" s="112" t="str">
        <x:v>Full-time replacement income</x:v>
      </x:c>
      <x:c r="B16" s="113" t="str">
        <x:v>$5,000 per month of owner profit before personal tax.</x:v>
      </x:c>
      <x:c r="C16" s="114" t="str">
        <x:v>Sensitivity points: $3,000 and $8,333 per month.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7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62" hidden="0" customWidth="1"/>
  </x:cols>
  <x:sheetData>
    <x:row r="1" ht="30" customHeight="1">
      <x:c r="A1" s="5" t="str">
        <x:v>Threshold Estimates</x:v>
      </x:c>
    </x:row>
    <x:row r="2" ht="28" customHeight="1">
      <x:c r="A2" s="12" t="str">
        <x:v>Modeled shares among serious commercial attempts at multiple gross-revenue and profit thresholds.</x:v>
      </x:c>
    </x:row>
    <x:row r="4">
      <x:c r="A4" s="28" t="str">
        <x:v>Population</x:v>
      </x:c>
      <x:c r="B4" s="28" t="str">
        <x:v>Threshold</x:v>
      </x:c>
      <x:c r="C4" s="28" t="str">
        <x:v>Unit</x:v>
      </x:c>
      <x:c r="D4" s="28" t="str">
        <x:v>Lower</x:v>
      </x:c>
      <x:c r="E4" s="28" t="str">
        <x:v>Central</x:v>
      </x:c>
      <x:c r="F4" s="28" t="str">
        <x:v>Upper</x:v>
      </x:c>
      <x:c r="G4" s="28" t="str">
        <x:v>Basis</x:v>
      </x:c>
    </x:row>
    <x:row r="5">
      <x:c r="A5" s="106" t="str">
        <x:v>E. Serious commercial attempts</x:v>
      </x:c>
      <x:c r="B5" s="107" t="str">
        <x:v>Any revenue</x:v>
      </x:c>
      <x:c r="C5" s="107" t="str">
        <x:v>App</x:v>
      </x:c>
      <x:c r="D5" s="148" t="n">
        <x:v>0.6785</x:v>
      </x:c>
      <x:c r="E5" s="148" t="n">
        <x:v>0.7772</x:v>
      </x:c>
      <x:c r="F5" s="148" t="n">
        <x:v>0.8727000000000001</x:v>
      </x:c>
      <x:c r="G5" s="108" t="str">
        <x:v>Modeled from the serious-attempt revenue-band calibration.</x:v>
      </x:c>
    </x:row>
    <x:row r="6">
      <x:c r="A6" s="109" t="str">
        <x:v>E. Serious commercial attempts</x:v>
      </x:c>
      <x:c r="B6" s="110" t="str">
        <x:v>Any revenue</x:v>
      </x:c>
      <x:c r="C6" s="110" t="str">
        <x:v>Developer</x:v>
      </x:c>
      <x:c r="D6" s="149" t="n">
        <x:v>0.7659</x:v>
      </x:c>
      <x:c r="E6" s="149" t="n">
        <x:v>0.8588</x:v>
      </x:c>
      <x:c r="F6" s="149" t="n">
        <x:v>0.9426000000000001</x:v>
      </x:c>
      <x:c r="G6" s="111" t="str">
        <x:v>Modeled from the serious-attempt revenue-band calibration.</x:v>
      </x:c>
    </x:row>
    <x:row r="7">
      <x:c r="A7" s="109" t="str">
        <x:v>E. Serious commercial attempts</x:v>
      </x:c>
      <x:c r="B7" s="110" t="str">
        <x:v>$100/month</x:v>
      </x:c>
      <x:c r="C7" s="110" t="str">
        <x:v>App</x:v>
      </x:c>
      <x:c r="D7" s="149" t="n">
        <x:v>0.35229999999999995</x:v>
      </x:c>
      <x:c r="E7" s="149" t="n">
        <x:v>0.46509999999999996</x:v>
      </x:c>
      <x:c r="F7" s="149" t="n">
        <x:v>0.5853</x:v>
      </x:c>
      <x:c r="G7" s="111" t="str">
        <x:v>Modeled survival curve anchored to founder survey and subscription cohorts.</x:v>
      </x:c>
    </x:row>
    <x:row r="8">
      <x:c r="A8" s="109" t="str">
        <x:v>E. Serious commercial attempts</x:v>
      </x:c>
      <x:c r="B8" s="110" t="str">
        <x:v>$100/month</x:v>
      </x:c>
      <x:c r="C8" s="110" t="str">
        <x:v>Developer</x:v>
      </x:c>
      <x:c r="D8" s="149" t="n">
        <x:v>0.4452999999999999</x:v>
      </x:c>
      <x:c r="E8" s="149" t="n">
        <x:v>0.5679</x:v>
      </x:c>
      <x:c r="F8" s="149" t="n">
        <x:v>0.6897999999999999</x:v>
      </x:c>
      <x:c r="G8" s="111" t="str">
        <x:v>Modeled survival curve anchored to founder survey and subscription cohorts.</x:v>
      </x:c>
    </x:row>
    <x:row r="9">
      <x:c r="A9" s="109" t="str">
        <x:v>E. Serious commercial attempts</x:v>
      </x:c>
      <x:c r="B9" s="110" t="str">
        <x:v>$1,000/month</x:v>
      </x:c>
      <x:c r="C9" s="110" t="str">
        <x:v>App</x:v>
      </x:c>
      <x:c r="D9" s="149" t="n">
        <x:v>0.052553746694904445</x:v>
      </x:c>
      <x:c r="E9" s="149" t="n">
        <x:v>0.10232853764617297</x:v>
      </x:c>
      <x:c r="F9" s="149" t="n">
        <x:v>0.1743522965752049</x:v>
      </x:c>
      <x:c r="G9" s="111" t="str">
        <x:v>Monte Carlo denominator model anchored to RevenueCat 2026.</x:v>
      </x:c>
    </x:row>
    <x:row r="10">
      <x:c r="A10" s="109" t="str">
        <x:v>E. Serious commercial attempts</x:v>
      </x:c>
      <x:c r="B10" s="110" t="str">
        <x:v>$1,000/month</x:v>
      </x:c>
      <x:c r="C10" s="110" t="str">
        <x:v>Developer</x:v>
      </x:c>
      <x:c r="D10" s="149" t="n">
        <x:v>0.08360258897371145</x:v>
      </x:c>
      <x:c r="E10" s="149" t="n">
        <x:v>0.15408261737906556</x:v>
      </x:c>
      <x:c r="F10" s="149" t="n">
        <x:v>0.25019874900428574</x:v>
      </x:c>
      <x:c r="G10" s="111" t="str">
        <x:v>Monte Carlo denominator model anchored to RevenueCat 2026.</x:v>
      </x:c>
    </x:row>
    <x:row r="11">
      <x:c r="A11" s="109" t="str">
        <x:v>E. Serious commercial attempts</x:v>
      </x:c>
      <x:c r="B11" s="110" t="str">
        <x:v>$5,000/month</x:v>
      </x:c>
      <x:c r="C11" s="110" t="str">
        <x:v>App</x:v>
      </x:c>
      <x:c r="D11" s="149" t="n">
        <x:v>0.0233</x:v>
      </x:c>
      <x:c r="E11" s="149" t="n">
        <x:v>0.0425</x:v>
      </x:c>
      <x:c r="F11" s="149" t="n">
        <x:v>0.0677</x:v>
      </x:c>
      <x:c r="G11" s="111" t="str">
        <x:v>Modeled right-tail continuation; constrained by RevenueCat and Adapty milestones.</x:v>
      </x:c>
    </x:row>
    <x:row r="12">
      <x:c r="A12" s="109" t="str">
        <x:v>E. Serious commercial attempts</x:v>
      </x:c>
      <x:c r="B12" s="110" t="str">
        <x:v>$5,000/month</x:v>
      </x:c>
      <x:c r="C12" s="110" t="str">
        <x:v>Developer</x:v>
      </x:c>
      <x:c r="D12" s="149" t="n">
        <x:v>0.0373</x:v>
      </x:c>
      <x:c r="E12" s="149" t="n">
        <x:v>0.0653</x:v>
      </x:c>
      <x:c r="F12" s="149" t="n">
        <x:v>0.1036</x:v>
      </x:c>
      <x:c r="G12" s="111" t="str">
        <x:v>Modeled right-tail continuation; constrained by RevenueCat and Adapty milestones.</x:v>
      </x:c>
    </x:row>
    <x:row r="13">
      <x:c r="A13" s="109" t="str">
        <x:v>E. Serious commercial attempts</x:v>
      </x:c>
      <x:c r="B13" s="110" t="str">
        <x:v>$10,000/month</x:v>
      </x:c>
      <x:c r="C13" s="110" t="str">
        <x:v>App</x:v>
      </x:c>
      <x:c r="D13" s="149" t="n">
        <x:v>0.0157</x:v>
      </x:c>
      <x:c r="E13" s="149" t="n">
        <x:v>0.0292</x:v>
      </x:c>
      <x:c r="F13" s="149" t="n">
        <x:v>0.0469</x:v>
      </x:c>
      <x:c r="G13" s="111" t="str">
        <x:v>Modeled right-tail continuation; RevenueCat reports 4.6% ever-hit within two years in its selected cohort.</x:v>
      </x:c>
    </x:row>
    <x:row r="14">
      <x:c r="A14" s="109" t="str">
        <x:v>E. Serious commercial attempts</x:v>
      </x:c>
      <x:c r="B14" s="110" t="str">
        <x:v>$10,000/month</x:v>
      </x:c>
      <x:c r="C14" s="110" t="str">
        <x:v>Developer</x:v>
      </x:c>
      <x:c r="D14" s="149" t="n">
        <x:v>0.025</x:v>
      </x:c>
      <x:c r="E14" s="149" t="n">
        <x:v>0.0449</x:v>
      </x:c>
      <x:c r="F14" s="149" t="n">
        <x:v>0.0724</x:v>
      </x:c>
      <x:c r="G14" s="111" t="str">
        <x:v>Modeled right-tail continuation; RevenueCat reports 4.6% ever-hit within two years in its selected cohort.</x:v>
      </x:c>
    </x:row>
    <x:row r="15">
      <x:c r="A15" s="109" t="str">
        <x:v>E. Serious commercial attempts</x:v>
      </x:c>
      <x:c r="B15" s="110" t="str">
        <x:v>$25,000/month</x:v>
      </x:c>
      <x:c r="C15" s="110" t="str">
        <x:v>App</x:v>
      </x:c>
      <x:c r="D15" s="149" t="n">
        <x:v>0.0055</x:v>
      </x:c>
      <x:c r="E15" s="149" t="n">
        <x:v>0.011199999999999998</x:v>
      </x:c>
      <x:c r="F15" s="149" t="n">
        <x:v>0.0196</x:v>
      </x:c>
      <x:c r="G15" s="111" t="str">
        <x:v>Modeled tail; no representative direct census.</x:v>
      </x:c>
    </x:row>
    <x:row r="16">
      <x:c r="A16" s="109" t="str">
        <x:v>E. Serious commercial attempts</x:v>
      </x:c>
      <x:c r="B16" s="110" t="str">
        <x:v>$25,000/month</x:v>
      </x:c>
      <x:c r="C16" s="110" t="str">
        <x:v>Developer</x:v>
      </x:c>
      <x:c r="D16" s="149" t="n">
        <x:v>0.00885</x:v>
      </x:c>
      <x:c r="E16" s="149" t="n">
        <x:v>0.01728</x:v>
      </x:c>
      <x:c r="F16" s="149" t="n">
        <x:v>0.03036</x:v>
      </x:c>
      <x:c r="G16" s="111" t="str">
        <x:v>Modeled tail; no representative direct census.</x:v>
      </x:c>
    </x:row>
    <x:row r="17">
      <x:c r="A17" s="109" t="str">
        <x:v>E. Serious commercial attempts</x:v>
      </x:c>
      <x:c r="B17" s="110" t="str">
        <x:v>$100,000/month</x:v>
      </x:c>
      <x:c r="C17" s="110" t="str">
        <x:v>App</x:v>
      </x:c>
      <x:c r="D17" s="149" t="n">
        <x:v>0.0007100000000000001</x:v>
      </x:c>
      <x:c r="E17" s="149" t="n">
        <x:v>0.00242</x:v>
      </x:c>
      <x:c r="F17" s="149" t="n">
        <x:v>0.0052</x:v>
      </x:c>
      <x:c r="G17" s="111" t="str">
        <x:v>Modeled extreme tail; highly sensitive to games and large publishers.</x:v>
      </x:c>
    </x:row>
    <x:row r="18">
      <x:c r="A18" s="109" t="str">
        <x:v>E. Serious commercial attempts</x:v>
      </x:c>
      <x:c r="B18" s="110" t="str">
        <x:v>$100,000/month</x:v>
      </x:c>
      <x:c r="C18" s="110" t="str">
        <x:v>Developer</x:v>
      </x:c>
      <x:c r="D18" s="149" t="n">
        <x:v>0.00119</x:v>
      </x:c>
      <x:c r="E18" s="149" t="n">
        <x:v>0.00368</x:v>
      </x:c>
      <x:c r="F18" s="149" t="n">
        <x:v>0.00792</x:v>
      </x:c>
      <x:c r="G18" s="111" t="str">
        <x:v>Modeled extreme tail; highly sensitive to games and large publishers.</x:v>
      </x:c>
    </x:row>
    <x:row r="19">
      <x:c r="A19" s="109" t="str">
        <x:v>E. Serious commercial attempts</x:v>
      </x:c>
      <x:c r="B19" s="110" t="str">
        <x:v>Full-time replacement income</x:v>
      </x:c>
      <x:c r="C19" s="110" t="str">
        <x:v>App</x:v>
      </x:c>
      <x:c r="D19" s="149" t="n">
        <x:v>0.0127</x:v>
      </x:c>
      <x:c r="E19" s="149" t="n">
        <x:v>0.0298</x:v>
      </x:c>
      <x:c r="F19" s="149" t="n">
        <x:v>0.0532</x:v>
      </x:c>
      <x:c r="G19" s="111" t="str">
        <x:v>Owner profit &gt;=$5,000/month before personal tax; not gross revenue.</x:v>
      </x:c>
    </x:row>
    <x:row r="20">
      <x:c r="A20" s="112" t="str">
        <x:v>E. Serious commercial attempts</x:v>
      </x:c>
      <x:c r="B20" s="113" t="str">
        <x:v>Full-time replacement income</x:v>
      </x:c>
      <x:c r="C20" s="113" t="str">
        <x:v>Developer</x:v>
      </x:c>
      <x:c r="D20" s="150" t="n">
        <x:v>0.0217</x:v>
      </x:c>
      <x:c r="E20" s="150" t="n">
        <x:v>0.0467</x:v>
      </x:c>
      <x:c r="F20" s="150" t="n">
        <x:v>0.0817</x:v>
      </x:c>
      <x:c r="G20" s="114" t="str">
        <x:v>Owner profit &gt;=$5,000/month before personal tax; not gross revenue.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2" hidden="0" customWidth="1"/>
    <x:col min="3" max="3" width="15" hidden="0" customWidth="1"/>
    <x:col min="4" max="4" width="28" hidden="0" customWidth="1"/>
    <x:col min="5" max="5" width="64" hidden="0" customWidth="1"/>
  </x:cols>
  <x:sheetData>
    <x:row r="1" ht="30" customHeight="1">
      <x:c r="A1" s="5" t="str">
        <x:v>Revenue-Band Calibration</x:v>
      </x:c>
    </x:row>
    <x:row r="2" ht="28" customHeight="1">
      <x:c r="A2" s="12" t="str">
        <x:v>Central gross monthly-revenue distributions by denominator. Modeled calibration; not a store census.</x:v>
      </x:c>
    </x:row>
    <x:row r="4">
      <x:c r="A4" s="28" t="str">
        <x:v>Population</x:v>
      </x:c>
      <x:c r="B4" s="28" t="str">
        <x:v>Revenue band</x:v>
      </x:c>
      <x:c r="C4" s="28" t="str">
        <x:v>Central share</x:v>
      </x:c>
      <x:c r="D4" s="28" t="str">
        <x:v>Status</x:v>
      </x:c>
      <x:c r="E4" s="28" t="str">
        <x:v>Note</x:v>
      </x:c>
    </x:row>
    <x:row r="5">
      <x:c r="A5" s="106" t="str">
        <x:v>A. All listed apps</x:v>
      </x:c>
      <x:c r="B5" s="107" t="str">
        <x:v>$0</x:v>
      </x:c>
      <x:c r="C5" s="216" t="n">
        <x:v>0.86</x:v>
      </x:c>
      <x:c r="D5" s="107" t="str">
        <x:v>Modeled central calibration</x:v>
      </x:c>
      <x:c r="E5" s="108" t="str">
        <x:v>Gross monthly revenue; rounded distribution, not a store census.</x:v>
      </x:c>
    </x:row>
    <x:row r="6">
      <x:c r="A6" s="109" t="str">
        <x:v>A. All listed apps</x:v>
      </x:c>
      <x:c r="B6" s="110" t="str">
        <x:v>$1-$99</x:v>
      </x:c>
      <x:c r="C6" s="217" t="n">
        <x:v>0.07</x:v>
      </x:c>
      <x:c r="D6" s="110" t="str">
        <x:v>Modeled central calibration</x:v>
      </x:c>
      <x:c r="E6" s="111" t="str">
        <x:v>Gross monthly revenue; rounded distribution, not a store census.</x:v>
      </x:c>
    </x:row>
    <x:row r="7">
      <x:c r="A7" s="109" t="str">
        <x:v>A. All listed apps</x:v>
      </x:c>
      <x:c r="B7" s="110" t="str">
        <x:v>$100-$999</x:v>
      </x:c>
      <x:c r="C7" s="217" t="n">
        <x:v>0.0602</x:v>
      </x:c>
      <x:c r="D7" s="110" t="str">
        <x:v>Modeled central calibration</x:v>
      </x:c>
      <x:c r="E7" s="111" t="str">
        <x:v>Gross monthly revenue; rounded distribution, not a store census.</x:v>
      </x:c>
    </x:row>
    <x:row r="8">
      <x:c r="A8" s="109" t="str">
        <x:v>A. All listed apps</x:v>
      </x:c>
      <x:c r="B8" s="110" t="str">
        <x:v>$1,000-$4,999</x:v>
      </x:c>
      <x:c r="C8" s="217" t="n">
        <x:v>0.006500000000000001</x:v>
      </x:c>
      <x:c r="D8" s="110" t="str">
        <x:v>Modeled central calibration</x:v>
      </x:c>
      <x:c r="E8" s="111" t="str">
        <x:v>Gross monthly revenue; rounded distribution, not a store census.</x:v>
      </x:c>
    </x:row>
    <x:row r="9">
      <x:c r="A9" s="109" t="str">
        <x:v>A. All listed apps</x:v>
      </x:c>
      <x:c r="B9" s="110" t="str">
        <x:v>$5,000-$24,999</x:v>
      </x:c>
      <x:c r="C9" s="217" t="n">
        <x:v>0.0024</x:v>
      </x:c>
      <x:c r="D9" s="110" t="str">
        <x:v>Modeled central calibration</x:v>
      </x:c>
      <x:c r="E9" s="111" t="str">
        <x:v>Gross monthly revenue; rounded distribution, not a store census.</x:v>
      </x:c>
    </x:row>
    <x:row r="10">
      <x:c r="A10" s="109" t="str">
        <x:v>A. All listed apps</x:v>
      </x:c>
      <x:c r="B10" s="110" t="str">
        <x:v>$25,000-$99,999</x:v>
      </x:c>
      <x:c r="C10" s="217" t="n">
        <x:v>0.0008</x:v>
      </x:c>
      <x:c r="D10" s="110" t="str">
        <x:v>Modeled central calibration</x:v>
      </x:c>
      <x:c r="E10" s="111" t="str">
        <x:v>Gross monthly revenue; rounded distribution, not a store census.</x:v>
      </x:c>
    </x:row>
    <x:row r="11">
      <x:c r="A11" s="109" t="str">
        <x:v>A. All listed apps</x:v>
      </x:c>
      <x:c r="B11" s="110" t="str">
        <x:v>$100,000+</x:v>
      </x:c>
      <x:c r="C11" s="217" t="n">
        <x:v>0.0001</x:v>
      </x:c>
      <x:c r="D11" s="110" t="str">
        <x:v>Modeled central calibration</x:v>
      </x:c>
      <x:c r="E11" s="111" t="str">
        <x:v>Gross monthly revenue; rounded distribution, not a store census.</x:v>
      </x:c>
    </x:row>
    <x:row r="12">
      <x:c r="A12" s="109" t="str">
        <x:v>B. Active apps</x:v>
      </x:c>
      <x:c r="B12" s="110" t="str">
        <x:v>$0</x:v>
      </x:c>
      <x:c r="C12" s="217" t="n">
        <x:v>0.55</x:v>
      </x:c>
      <x:c r="D12" s="110" t="str">
        <x:v>Modeled central calibration</x:v>
      </x:c>
      <x:c r="E12" s="111" t="str">
        <x:v>Gross monthly revenue; rounded distribution, not a store census.</x:v>
      </x:c>
    </x:row>
    <x:row r="13">
      <x:c r="A13" s="109" t="str">
        <x:v>B. Active apps</x:v>
      </x:c>
      <x:c r="B13" s="110" t="str">
        <x:v>$1-$99</x:v>
      </x:c>
      <x:c r="C13" s="217" t="n">
        <x:v>0.23</x:v>
      </x:c>
      <x:c r="D13" s="110" t="str">
        <x:v>Modeled central calibration</x:v>
      </x:c>
      <x:c r="E13" s="111" t="str">
        <x:v>Gross monthly revenue; rounded distribution, not a store census.</x:v>
      </x:c>
    </x:row>
    <x:row r="14">
      <x:c r="A14" s="109" t="str">
        <x:v>B. Active apps</x:v>
      </x:c>
      <x:c r="B14" s="110" t="str">
        <x:v>$100-$999</x:v>
      </x:c>
      <x:c r="C14" s="217" t="n">
        <x:v>0.1875</x:v>
      </x:c>
      <x:c r="D14" s="110" t="str">
        <x:v>Modeled central calibration</x:v>
      </x:c>
      <x:c r="E14" s="111" t="str">
        <x:v>Gross monthly revenue; rounded distribution, not a store census.</x:v>
      </x:c>
    </x:row>
    <x:row r="15">
      <x:c r="A15" s="109" t="str">
        <x:v>B. Active apps</x:v>
      </x:c>
      <x:c r="B15" s="110" t="str">
        <x:v>$1,000-$4,999</x:v>
      </x:c>
      <x:c r="C15" s="217" t="n">
        <x:v>0.0225</x:v>
      </x:c>
      <x:c r="D15" s="110" t="str">
        <x:v>Modeled central calibration</x:v>
      </x:c>
      <x:c r="E15" s="111" t="str">
        <x:v>Gross monthly revenue; rounded distribution, not a store census.</x:v>
      </x:c>
    </x:row>
    <x:row r="16">
      <x:c r="A16" s="109" t="str">
        <x:v>B. Active apps</x:v>
      </x:c>
      <x:c r="B16" s="110" t="str">
        <x:v>$5,000-$24,999</x:v>
      </x:c>
      <x:c r="C16" s="217" t="n">
        <x:v>0.0075</x:v>
      </x:c>
      <x:c r="D16" s="110" t="str">
        <x:v>Modeled central calibration</x:v>
      </x:c>
      <x:c r="E16" s="111" t="str">
        <x:v>Gross monthly revenue; rounded distribution, not a store census.</x:v>
      </x:c>
    </x:row>
    <x:row r="17">
      <x:c r="A17" s="109" t="str">
        <x:v>B. Active apps</x:v>
      </x:c>
      <x:c r="B17" s="110" t="str">
        <x:v>$25,000-$99,999</x:v>
      </x:c>
      <x:c r="C17" s="217" t="n">
        <x:v>0.002</x:v>
      </x:c>
      <x:c r="D17" s="110" t="str">
        <x:v>Modeled central calibration</x:v>
      </x:c>
      <x:c r="E17" s="111" t="str">
        <x:v>Gross monthly revenue; rounded distribution, not a store census.</x:v>
      </x:c>
    </x:row>
    <x:row r="18">
      <x:c r="A18" s="109" t="str">
        <x:v>B. Active apps</x:v>
      </x:c>
      <x:c r="B18" s="110" t="str">
        <x:v>$100,000+</x:v>
      </x:c>
      <x:c r="C18" s="217" t="n">
        <x:v>0.0005</x:v>
      </x:c>
      <x:c r="D18" s="110" t="str">
        <x:v>Modeled central calibration</x:v>
      </x:c>
      <x:c r="E18" s="111" t="str">
        <x:v>Gross monthly revenue; rounded distribution, not a store census.</x:v>
      </x:c>
    </x:row>
    <x:row r="19">
      <x:c r="A19" s="109" t="str">
        <x:v>C. Active monetized apps</x:v>
      </x:c>
      <x:c r="B19" s="110" t="str">
        <x:v>$0</x:v>
      </x:c>
      <x:c r="C19" s="217" t="n">
        <x:v>0.08</x:v>
      </x:c>
      <x:c r="D19" s="110" t="str">
        <x:v>Modeled central calibration</x:v>
      </x:c>
      <x:c r="E19" s="111" t="str">
        <x:v>Gross monthly revenue; rounded distribution, not a store census.</x:v>
      </x:c>
    </x:row>
    <x:row r="20">
      <x:c r="A20" s="109" t="str">
        <x:v>C. Active monetized apps</x:v>
      </x:c>
      <x:c r="B20" s="110" t="str">
        <x:v>$1-$99</x:v>
      </x:c>
      <x:c r="C20" s="217" t="n">
        <x:v>0.44</x:v>
      </x:c>
      <x:c r="D20" s="110" t="str">
        <x:v>Modeled central calibration</x:v>
      </x:c>
      <x:c r="E20" s="111" t="str">
        <x:v>Gross monthly revenue; rounded distribution, not a store census.</x:v>
      </x:c>
    </x:row>
    <x:row r="21">
      <x:c r="A21" s="109" t="str">
        <x:v>C. Active monetized apps</x:v>
      </x:c>
      <x:c r="B21" s="110" t="str">
        <x:v>$100-$999</x:v>
      </x:c>
      <x:c r="C21" s="217" t="n">
        <x:v>0.4032</x:v>
      </x:c>
      <x:c r="D21" s="110" t="str">
        <x:v>Modeled central calibration</x:v>
      </x:c>
      <x:c r="E21" s="111" t="str">
        <x:v>Gross monthly revenue; rounded distribution, not a store census.</x:v>
      </x:c>
    </x:row>
    <x:row r="22">
      <x:c r="A22" s="109" t="str">
        <x:v>C. Active monetized apps</x:v>
      </x:c>
      <x:c r="B22" s="110" t="str">
        <x:v>$1,000-$4,999</x:v>
      </x:c>
      <x:c r="C22" s="217" t="n">
        <x:v>0.05</x:v>
      </x:c>
      <x:c r="D22" s="110" t="str">
        <x:v>Modeled central calibration</x:v>
      </x:c>
      <x:c r="E22" s="111" t="str">
        <x:v>Gross monthly revenue; rounded distribution, not a store census.</x:v>
      </x:c>
    </x:row>
    <x:row r="23">
      <x:c r="A23" s="109" t="str">
        <x:v>C. Active monetized apps</x:v>
      </x:c>
      <x:c r="B23" s="110" t="str">
        <x:v>$5,000-$24,999</x:v>
      </x:c>
      <x:c r="C23" s="217" t="n">
        <x:v>0.02</x:v>
      </x:c>
      <x:c r="D23" s="110" t="str">
        <x:v>Modeled central calibration</x:v>
      </x:c>
      <x:c r="E23" s="111" t="str">
        <x:v>Gross monthly revenue; rounded distribution, not a store census.</x:v>
      </x:c>
    </x:row>
    <x:row r="24">
      <x:c r="A24" s="109" t="str">
        <x:v>C. Active monetized apps</x:v>
      </x:c>
      <x:c r="B24" s="110" t="str">
        <x:v>$25,000-$99,999</x:v>
      </x:c>
      <x:c r="C24" s="217" t="n">
        <x:v>0.0058</x:v>
      </x:c>
      <x:c r="D24" s="110" t="str">
        <x:v>Modeled central calibration</x:v>
      </x:c>
      <x:c r="E24" s="111" t="str">
        <x:v>Gross monthly revenue; rounded distribution, not a store census.</x:v>
      </x:c>
    </x:row>
    <x:row r="25">
      <x:c r="A25" s="109" t="str">
        <x:v>C. Active monetized apps</x:v>
      </x:c>
      <x:c r="B25" s="110" t="str">
        <x:v>$100,000+</x:v>
      </x:c>
      <x:c r="C25" s="217" t="n">
        <x:v>0.001</x:v>
      </x:c>
      <x:c r="D25" s="110" t="str">
        <x:v>Modeled central calibration</x:v>
      </x:c>
      <x:c r="E25" s="111" t="str">
        <x:v>Gross monthly revenue; rounded distribution, not a store census.</x:v>
      </x:c>
    </x:row>
    <x:row r="26">
      <x:c r="A26" s="109" t="str">
        <x:v>D. Independently owned active apps</x:v>
      </x:c>
      <x:c r="B26" s="110" t="str">
        <x:v>$0</x:v>
      </x:c>
      <x:c r="C26" s="217" t="n">
        <x:v>0.5</x:v>
      </x:c>
      <x:c r="D26" s="110" t="str">
        <x:v>Modeled central calibration</x:v>
      </x:c>
      <x:c r="E26" s="111" t="str">
        <x:v>Gross monthly revenue; rounded distribution, not a store census.</x:v>
      </x:c>
    </x:row>
    <x:row r="27">
      <x:c r="A27" s="109" t="str">
        <x:v>D. Independently owned active apps</x:v>
      </x:c>
      <x:c r="B27" s="110" t="str">
        <x:v>$1-$99</x:v>
      </x:c>
      <x:c r="C27" s="217" t="n">
        <x:v>0.27</x:v>
      </x:c>
      <x:c r="D27" s="110" t="str">
        <x:v>Modeled central calibration</x:v>
      </x:c>
      <x:c r="E27" s="111" t="str">
        <x:v>Gross monthly revenue; rounded distribution, not a store census.</x:v>
      </x:c>
    </x:row>
    <x:row r="28">
      <x:c r="A28" s="109" t="str">
        <x:v>D. Independently owned active apps</x:v>
      </x:c>
      <x:c r="B28" s="110" t="str">
        <x:v>$100-$999</x:v>
      </x:c>
      <x:c r="C28" s="217" t="n">
        <x:v>0.185</x:v>
      </x:c>
      <x:c r="D28" s="110" t="str">
        <x:v>Modeled central calibration</x:v>
      </x:c>
      <x:c r="E28" s="111" t="str">
        <x:v>Gross monthly revenue; rounded distribution, not a store census.</x:v>
      </x:c>
    </x:row>
    <x:row r="29">
      <x:c r="A29" s="109" t="str">
        <x:v>D. Independently owned active apps</x:v>
      </x:c>
      <x:c r="B29" s="110" t="str">
        <x:v>$1,000-$4,999</x:v>
      </x:c>
      <x:c r="C29" s="217" t="n">
        <x:v>0.03</x:v>
      </x:c>
      <x:c r="D29" s="110" t="str">
        <x:v>Modeled central calibration</x:v>
      </x:c>
      <x:c r="E29" s="111" t="str">
        <x:v>Gross monthly revenue; rounded distribution, not a store census.</x:v>
      </x:c>
    </x:row>
    <x:row r="30">
      <x:c r="A30" s="109" t="str">
        <x:v>D. Independently owned active apps</x:v>
      </x:c>
      <x:c r="B30" s="110" t="str">
        <x:v>$5,000-$24,999</x:v>
      </x:c>
      <x:c r="C30" s="217" t="n">
        <x:v>0.011000000000000001</x:v>
      </x:c>
      <x:c r="D30" s="110" t="str">
        <x:v>Modeled central calibration</x:v>
      </x:c>
      <x:c r="E30" s="111" t="str">
        <x:v>Gross monthly revenue; rounded distribution, not a store census.</x:v>
      </x:c>
    </x:row>
    <x:row r="31">
      <x:c r="A31" s="109" t="str">
        <x:v>D. Independently owned active apps</x:v>
      </x:c>
      <x:c r="B31" s="110" t="str">
        <x:v>$25,000-$99,999</x:v>
      </x:c>
      <x:c r="C31" s="217" t="n">
        <x:v>0.0032</x:v>
      </x:c>
      <x:c r="D31" s="110" t="str">
        <x:v>Modeled central calibration</x:v>
      </x:c>
      <x:c r="E31" s="111" t="str">
        <x:v>Gross monthly revenue; rounded distribution, not a store census.</x:v>
      </x:c>
    </x:row>
    <x:row r="32">
      <x:c r="A32" s="109" t="str">
        <x:v>D. Independently owned active apps</x:v>
      </x:c>
      <x:c r="B32" s="110" t="str">
        <x:v>$100,000+</x:v>
      </x:c>
      <x:c r="C32" s="217" t="n">
        <x:v>0.0008</x:v>
      </x:c>
      <x:c r="D32" s="110" t="str">
        <x:v>Modeled central calibration</x:v>
      </x:c>
      <x:c r="E32" s="111" t="str">
        <x:v>Gross monthly revenue; rounded distribution, not a store census.</x:v>
      </x:c>
    </x:row>
    <x:row r="33">
      <x:c r="A33" s="109" t="str">
        <x:v>E. Serious commercial attempts</x:v>
      </x:c>
      <x:c r="B33" s="110" t="str">
        <x:v>$0</x:v>
      </x:c>
      <x:c r="C33" s="217" t="n">
        <x:v>0.22</x:v>
      </x:c>
      <x:c r="D33" s="110" t="str">
        <x:v>Modeled central calibration</x:v>
      </x:c>
      <x:c r="E33" s="111" t="str">
        <x:v>Gross monthly revenue; rounded distribution, not a store census.</x:v>
      </x:c>
    </x:row>
    <x:row r="34">
      <x:c r="A34" s="109" t="str">
        <x:v>E. Serious commercial attempts</x:v>
      </x:c>
      <x:c r="B34" s="110" t="str">
        <x:v>$1-$99</x:v>
      </x:c>
      <x:c r="C34" s="217" t="n">
        <x:v>0.32</x:v>
      </x:c>
      <x:c r="D34" s="110" t="str">
        <x:v>Modeled central calibration</x:v>
      </x:c>
      <x:c r="E34" s="111" t="str">
        <x:v>Gross monthly revenue; rounded distribution, not a store census.</x:v>
      </x:c>
    </x:row>
    <x:row r="35">
      <x:c r="A35" s="109" t="str">
        <x:v>E. Serious commercial attempts</x:v>
      </x:c>
      <x:c r="B35" s="110" t="str">
        <x:v>$100-$999</x:v>
      </x:c>
      <x:c r="C35" s="217" t="n">
        <x:v>0.3578</x:v>
      </x:c>
      <x:c r="D35" s="110" t="str">
        <x:v>Modeled central calibration</x:v>
      </x:c>
      <x:c r="E35" s="111" t="str">
        <x:v>Gross monthly revenue; rounded distribution, not a store census.</x:v>
      </x:c>
    </x:row>
    <x:row r="36">
      <x:c r="A36" s="109" t="str">
        <x:v>E. Serious commercial attempts</x:v>
      </x:c>
      <x:c r="B36" s="110" t="str">
        <x:v>$1,000-$4,999</x:v>
      </x:c>
      <x:c r="C36" s="217" t="n">
        <x:v>0.065</x:v>
      </x:c>
      <x:c r="D36" s="110" t="str">
        <x:v>Modeled central calibration</x:v>
      </x:c>
      <x:c r="E36" s="111" t="str">
        <x:v>Gross monthly revenue; rounded distribution, not a store census.</x:v>
      </x:c>
    </x:row>
    <x:row r="37">
      <x:c r="A37" s="109" t="str">
        <x:v>E. Serious commercial attempts</x:v>
      </x:c>
      <x:c r="B37" s="110" t="str">
        <x:v>$5,000-$24,999</x:v>
      </x:c>
      <x:c r="C37" s="217" t="n">
        <x:v>0.027000000000000003</x:v>
      </x:c>
      <x:c r="D37" s="110" t="str">
        <x:v>Modeled central calibration</x:v>
      </x:c>
      <x:c r="E37" s="111" t="str">
        <x:v>Gross monthly revenue; rounded distribution, not a store census.</x:v>
      </x:c>
    </x:row>
    <x:row r="38">
      <x:c r="A38" s="109" t="str">
        <x:v>E. Serious commercial attempts</x:v>
      </x:c>
      <x:c r="B38" s="110" t="str">
        <x:v>$25,000-$99,999</x:v>
      </x:c>
      <x:c r="C38" s="217" t="n">
        <x:v>0.008</x:v>
      </x:c>
      <x:c r="D38" s="110" t="str">
        <x:v>Modeled central calibration</x:v>
      </x:c>
      <x:c r="E38" s="111" t="str">
        <x:v>Gross monthly revenue; rounded distribution, not a store census.</x:v>
      </x:c>
    </x:row>
    <x:row r="39">
      <x:c r="A39" s="109" t="str">
        <x:v>E. Serious commercial attempts</x:v>
      </x:c>
      <x:c r="B39" s="110" t="str">
        <x:v>$100,000+</x:v>
      </x:c>
      <x:c r="C39" s="217" t="n">
        <x:v>0.0022</x:v>
      </x:c>
      <x:c r="D39" s="110" t="str">
        <x:v>Modeled central calibration</x:v>
      </x:c>
      <x:c r="E39" s="111" t="str">
        <x:v>Gross monthly revenue; rounded distribution, not a store census.</x:v>
      </x:c>
    </x:row>
    <x:row r="40">
      <x:c r="A40" s="109" t="str">
        <x:v>F. Maintained for at least 12 months</x:v>
      </x:c>
      <x:c r="B40" s="110" t="str">
        <x:v>$0</x:v>
      </x:c>
      <x:c r="C40" s="217" t="n">
        <x:v>0.18</x:v>
      </x:c>
      <x:c r="D40" s="110" t="str">
        <x:v>Modeled central calibration</x:v>
      </x:c>
      <x:c r="E40" s="111" t="str">
        <x:v>Gross monthly revenue; rounded distribution, not a store census.</x:v>
      </x:c>
    </x:row>
    <x:row r="41">
      <x:c r="A41" s="109" t="str">
        <x:v>F. Maintained for at least 12 months</x:v>
      </x:c>
      <x:c r="B41" s="110" t="str">
        <x:v>$1-$99</x:v>
      </x:c>
      <x:c r="C41" s="217" t="n">
        <x:v>0.27</x:v>
      </x:c>
      <x:c r="D41" s="110" t="str">
        <x:v>Modeled central calibration</x:v>
      </x:c>
      <x:c r="E41" s="111" t="str">
        <x:v>Gross monthly revenue; rounded distribution, not a store census.</x:v>
      </x:c>
    </x:row>
    <x:row r="42">
      <x:c r="A42" s="109" t="str">
        <x:v>F. Maintained for at least 12 months</x:v>
      </x:c>
      <x:c r="B42" s="110" t="str">
        <x:v>$100-$999</x:v>
      </x:c>
      <x:c r="C42" s="217" t="n">
        <x:v>0.4274</x:v>
      </x:c>
      <x:c r="D42" s="110" t="str">
        <x:v>Modeled central calibration</x:v>
      </x:c>
      <x:c r="E42" s="111" t="str">
        <x:v>Gross monthly revenue; rounded distribution, not a store census.</x:v>
      </x:c>
    </x:row>
    <x:row r="43">
      <x:c r="A43" s="109" t="str">
        <x:v>F. Maintained for at least 12 months</x:v>
      </x:c>
      <x:c r="B43" s="110" t="str">
        <x:v>$1,000-$4,999</x:v>
      </x:c>
      <x:c r="C43" s="217" t="n">
        <x:v>0.07400000000000001</x:v>
      </x:c>
      <x:c r="D43" s="110" t="str">
        <x:v>Modeled central calibration</x:v>
      </x:c>
      <x:c r="E43" s="111" t="str">
        <x:v>Gross monthly revenue; rounded distribution, not a store census.</x:v>
      </x:c>
    </x:row>
    <x:row r="44">
      <x:c r="A44" s="109" t="str">
        <x:v>F. Maintained for at least 12 months</x:v>
      </x:c>
      <x:c r="B44" s="110" t="str">
        <x:v>$5,000-$24,999</x:v>
      </x:c>
      <x:c r="C44" s="217" t="n">
        <x:v>0.035</x:v>
      </x:c>
      <x:c r="D44" s="110" t="str">
        <x:v>Modeled central calibration</x:v>
      </x:c>
      <x:c r="E44" s="111" t="str">
        <x:v>Gross monthly revenue; rounded distribution, not a store census.</x:v>
      </x:c>
    </x:row>
    <x:row r="45">
      <x:c r="A45" s="109" t="str">
        <x:v>F. Maintained for at least 12 months</x:v>
      </x:c>
      <x:c r="B45" s="110" t="str">
        <x:v>$25,000-$99,999</x:v>
      </x:c>
      <x:c r="C45" s="217" t="n">
        <x:v>0.011000000000000001</x:v>
      </x:c>
      <x:c r="D45" s="110" t="str">
        <x:v>Modeled central calibration</x:v>
      </x:c>
      <x:c r="E45" s="111" t="str">
        <x:v>Gross monthly revenue; rounded distribution, not a store census.</x:v>
      </x:c>
    </x:row>
    <x:row r="46">
      <x:c r="A46" s="112" t="str">
        <x:v>F. Maintained for at least 12 months</x:v>
      </x:c>
      <x:c r="B46" s="113" t="str">
        <x:v>$100,000+</x:v>
      </x:c>
      <x:c r="C46" s="218" t="n">
        <x:v>0.0026</x:v>
      </x:c>
      <x:c r="D46" s="113" t="str">
        <x:v>Modeled central calibration</x:v>
      </x:c>
      <x:c r="E46" s="114" t="str">
        <x:v>Gross monthly revenue; rounded distribution, not a store census.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3" max="3" width="22" hidden="0" customWidth="1"/>
    <x:col min="4" max="4" width="29" hidden="0" customWidth="1"/>
    <x:col min="5" max="5" width="70" hidden="0" customWidth="1"/>
  </x:cols>
  <x:sheetData>
    <x:row r="1" ht="30" customHeight="1">
      <x:c r="A1" s="5" t="str">
        <x:v>Developer Portfolio Model</x:v>
      </x:c>
    </x:row>
    <x:row r="2" ht="28" customHeight="1">
      <x:c r="A2" s="12" t="str">
        <x:v>App-count assumptions, naive any-hit probabilities, and portfolio-concentration outputs.</x:v>
      </x:c>
    </x:row>
    <x:row r="4">
      <x:c r="A4" s="28" t="str">
        <x:v>Section</x:v>
      </x:c>
      <x:c r="B4" s="28" t="str">
        <x:v>Apps / metric</x:v>
      </x:c>
      <x:c r="C4" s="28" t="str">
        <x:v>Developer share / value</x:v>
      </x:c>
      <x:c r="D4" s="28" t="str">
        <x:v>Any-hit probability / status</x:v>
      </x:c>
      <x:c r="E4" s="28" t="str">
        <x:v>Note</x:v>
      </x:c>
    </x:row>
    <x:row r="5">
      <x:c r="A5" s="106" t="str">
        <x:v>App-count distribution</x:v>
      </x:c>
      <x:c r="B5" s="222" t="n">
        <x:v>1</x:v>
      </x:c>
      <x:c r="C5" s="148" t="n">
        <x:v>0.58</x:v>
      </x:c>
      <x:c r="D5" s="148" t="n">
        <x:v>0.102328537646173</x:v>
      </x:c>
      <x:c r="E5" s="108" t="str">
        <x:v>Independent-app upper bound before correlated-outcome dampening.</x:v>
      </x:c>
    </x:row>
    <x:row r="6">
      <x:c r="A6" s="109" t="str">
        <x:v>App-count distribution</x:v>
      </x:c>
      <x:c r="B6" s="223" t="n">
        <x:v>2</x:v>
      </x:c>
      <x:c r="C6" s="149" t="n">
        <x:v>0.22</x:v>
      </x:c>
      <x:c r="D6" s="149" t="n">
        <x:v>0.1941859456755417</x:v>
      </x:c>
      <x:c r="E6" s="111" t="str">
        <x:v>Independent-app upper bound before correlated-outcome dampening.</x:v>
      </x:c>
    </x:row>
    <x:row r="7">
      <x:c r="A7" s="109" t="str">
        <x:v>App-count distribution</x:v>
      </x:c>
      <x:c r="B7" s="223" t="n">
        <x:v>3</x:v>
      </x:c>
      <x:c r="C7" s="149" t="n">
        <x:v>0.1</x:v>
      </x:c>
      <x:c r="D7" s="149" t="n">
        <x:v>0.27664371946929733</x:v>
      </x:c>
      <x:c r="E7" s="111" t="str">
        <x:v>Independent-app upper bound before correlated-outcome dampening.</x:v>
      </x:c>
    </x:row>
    <x:row r="8">
      <x:c r="A8" s="109" t="str">
        <x:v>App-count distribution</x:v>
      </x:c>
      <x:c r="B8" s="223" t="n">
        <x:v>4</x:v>
      </x:c>
      <x:c r="C8" s="149" t="n">
        <x:v>0.05</x:v>
      </x:c>
      <x:c r="D8" s="149" t="n">
        <x:v>0.3506637098531791</x:v>
      </x:c>
      <x:c r="E8" s="111" t="str">
        <x:v>Independent-app upper bound before correlated-outcome dampening.</x:v>
      </x:c>
    </x:row>
    <x:row r="9">
      <x:c r="A9" s="109" t="str">
        <x:v>App-count distribution</x:v>
      </x:c>
      <x:c r="B9" s="223" t="n">
        <x:v>5</x:v>
      </x:c>
      <x:c r="C9" s="149" t="n">
        <x:v>0.03</x:v>
      </x:c>
      <x:c r="D9" s="149" t="n">
        <x:v>0.4171093428644943</x:v>
      </x:c>
      <x:c r="E9" s="111" t="str">
        <x:v>Independent-app upper bound before correlated-outcome dampening.</x:v>
      </x:c>
    </x:row>
    <x:row r="10">
      <x:c r="A10" s="109" t="str">
        <x:v>App-count distribution</x:v>
      </x:c>
      <x:c r="B10" s="223" t="n">
        <x:v>8</x:v>
      </x:c>
      <x:c r="C10" s="149" t="n">
        <x:v>0.02</x:v>
      </x:c>
      <x:c r="D10" s="149" t="n">
        <x:v>0.5783623822983636</x:v>
      </x:c>
      <x:c r="E10" s="111" t="str">
        <x:v>Independent-app upper bound before correlated-outcome dampening.</x:v>
      </x:c>
    </x:row>
    <x:row r="11">
      <x:c r="A11" s="109" t="str"/>
      <x:c r="B11" s="110"/>
      <x:c r="C11" s="110"/>
      <x:c r="D11" s="110"/>
      <x:c r="E11" s="111" t="str"/>
    </x:row>
    <x:row r="12">
      <x:c r="A12" s="109" t="str">
        <x:v>Portfolio outputs</x:v>
      </x:c>
      <x:c r="B12" s="110" t="str">
        <x:v>Mean apps owned</x:v>
      </x:c>
      <x:c r="C12" s="228" t="n">
        <x:v>1.8299999999999998</x:v>
      </x:c>
      <x:c r="D12" s="110" t="str">
        <x:v>Model assumption</x:v>
      </x:c>
      <x:c r="E12" s="111" t="str"/>
    </x:row>
    <x:row r="13">
      <x:c r="A13" s="109" t="str">
        <x:v>Portfolio outputs</x:v>
      </x:c>
      <x:c r="B13" s="110" t="str">
        <x:v>Successful developers with top app &gt;=70% of portfolio revenue</x:v>
      </x:c>
      <x:c r="C13" s="110" t="str">
        <x:v>55%-75%</x:v>
      </x:c>
      <x:c r="D13" s="110" t="str">
        <x:v>Modeled range, not observed census</x:v>
      </x:c>
      <x:c r="E13" s="111" t="str"/>
    </x:row>
    <x:row r="14">
      <x:c r="A14" s="109" t="str">
        <x:v>Portfolio outputs</x:v>
      </x:c>
      <x:c r="B14" s="110" t="str">
        <x:v>Developers over $1k with at least one app individually over $1k</x:v>
      </x:c>
      <x:c r="C14" s="110" t="str">
        <x:v>75%-83%</x:v>
      </x:c>
      <x:c r="D14" s="110" t="str">
        <x:v>Modeled range</x:v>
      </x:c>
      <x:c r="E14" s="111" t="str"/>
    </x:row>
    <x:row r="15">
      <x:c r="A15" s="112" t="str">
        <x:v>Portfolio outputs</x:v>
      </x:c>
      <x:c r="B15" s="113" t="str">
        <x:v>Developers crossing $1k only by summing sub-threshold apps</x:v>
      </x:c>
      <x:c r="C15" s="113" t="str">
        <x:v>17%-25%</x:v>
      </x:c>
      <x:c r="D15" s="113" t="str">
        <x:v>Modeled range</x:v>
      </x:c>
      <x:c r="E15" s="114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7" hidden="0" customWidth="1"/>
    <x:col min="3" max="3" width="38" hidden="0" customWidth="1"/>
    <x:col min="4" max="4" width="18" hidden="0" customWidth="1"/>
    <x:col min="5" max="5" width="27" hidden="0" customWidth="1"/>
    <x:col min="6" max="6" width="46" hidden="0" customWidth="1"/>
    <x:col min="7" max="7" width="78" hidden="0" customWidth="1"/>
  </x:cols>
  <x:sheetData>
    <x:row r="1" ht="30" customHeight="1">
      <x:c r="A1" s="5" t="str">
        <x:v>Unit Economics</x:v>
      </x:c>
    </x:row>
    <x:row r="2" ht="28" customHeight="1">
      <x:c r="A2" s="12" t="str">
        <x:v>Transparent arithmetic for reaching $1,000 gross, proceeds, or owner profit under major monetization models.</x:v>
      </x:c>
    </x:row>
    <x:row r="4">
      <x:c r="A4" s="28" t="str">
        <x:v>Model</x:v>
      </x:c>
      <x:c r="B4" s="28" t="str">
        <x:v>Scenario</x:v>
      </x:c>
      <x:c r="C4" s="28" t="str">
        <x:v>Target</x:v>
      </x:c>
      <x:c r="D4" s="28" t="str">
        <x:v>Required units</x:v>
      </x:c>
      <x:c r="E4" s="28" t="str">
        <x:v>Unit name</x:v>
      </x:c>
      <x:c r="F4" s="28" t="str">
        <x:v>Visible formula</x:v>
      </x:c>
      <x:c r="G4" s="28" t="str">
        <x:v>Assumptions</x:v>
      </x:c>
    </x:row>
    <x:row r="5">
      <x:c r="A5" s="106" t="str">
        <x:v>Monthly subscription</x:v>
      </x:c>
      <x:c r="B5" s="107" t="str">
        <x:v>$4.99/month</x:v>
      </x:c>
      <x:c r="C5" s="107" t="str">
        <x:v>$1,000 gross/month</x:v>
      </x:c>
      <x:c r="D5" s="234" t="n">
        <x:f>CEILING(1000/4.99,1)</x:f>
        <x:v>201</x:v>
      </x:c>
      <x:c r="E5" s="107" t="str">
        <x:v>active monthly subscribers</x:v>
      </x:c>
      <x:c r="F5" s="222" t="str">
        <x:v>CEILING(1000/4.99,1)</x:v>
      </x:c>
      <x:c r="G5" s="108" t="str">
        <x:v>No refunds or tax.</x:v>
      </x:c>
    </x:row>
    <x:row r="6">
      <x:c r="A6" s="109" t="str">
        <x:v>Monthly subscription</x:v>
      </x:c>
      <x:c r="B6" s="110" t="str">
        <x:v>$4.99/month</x:v>
      </x:c>
      <x:c r="C6" s="110" t="str">
        <x:v>$1,000 proceeds/month</x:v>
      </x:c>
      <x:c r="D6" s="235" t="n">
        <x:f>CEILING(1000/(4.99*0.85),1)</x:f>
        <x:v>236</x:v>
      </x:c>
      <x:c r="E6" s="110" t="str">
        <x:v>active monthly subscribers</x:v>
      </x:c>
      <x:c r="F6" s="223" t="str">
        <x:v>CEILING(1000/(4.99*0.85),1)</x:v>
      </x:c>
      <x:c r="G6" s="111" t="str">
        <x:v>15% platform/payment fee.</x:v>
      </x:c>
    </x:row>
    <x:row r="7">
      <x:c r="A7" s="109" t="str">
        <x:v>Monthly subscription</x:v>
      </x:c>
      <x:c r="B7" s="110" t="str">
        <x:v>$4.99/month</x:v>
      </x:c>
      <x:c r="C7" s="110" t="str">
        <x:v>$1,000 owner profit/month</x:v>
      </x:c>
      <x:c r="D7" s="235" t="n">
        <x:f>CEILING((1000+150)/(4.99*0.85-0.25),1)</x:f>
        <x:v>289</x:v>
      </x:c>
      <x:c r="E7" s="110" t="str">
        <x:v>active monthly subscribers</x:v>
      </x:c>
      <x:c r="F7" s="223" t="str">
        <x:v>CEILING((1000+150)/(4.99*0.85-0.25),1)</x:v>
      </x:c>
      <x:c r="G7" s="111" t="str">
        <x:v>15% fee, $150 fixed cost, $0.25 variable cost per active subscriber.</x:v>
      </x:c>
    </x:row>
    <x:row r="8">
      <x:c r="A8" s="109" t="str">
        <x:v>Monthly subscription</x:v>
      </x:c>
      <x:c r="B8" s="110" t="str">
        <x:v>$9.99/month</x:v>
      </x:c>
      <x:c r="C8" s="110" t="str">
        <x:v>$1,000 gross/month</x:v>
      </x:c>
      <x:c r="D8" s="235" t="n">
        <x:f>CEILING(1000/9.99,1)</x:f>
        <x:v>101</x:v>
      </x:c>
      <x:c r="E8" s="110" t="str">
        <x:v>active monthly subscribers</x:v>
      </x:c>
      <x:c r="F8" s="223" t="str">
        <x:v>CEILING(1000/9.99,1)</x:v>
      </x:c>
      <x:c r="G8" s="111" t="str">
        <x:v>No refunds or tax.</x:v>
      </x:c>
    </x:row>
    <x:row r="9">
      <x:c r="A9" s="109" t="str">
        <x:v>Monthly subscription</x:v>
      </x:c>
      <x:c r="B9" s="110" t="str">
        <x:v>$9.99/month</x:v>
      </x:c>
      <x:c r="C9" s="110" t="str">
        <x:v>$1,000 proceeds/month</x:v>
      </x:c>
      <x:c r="D9" s="235" t="n">
        <x:f>CEILING(1000/(9.99*0.85),1)</x:f>
        <x:v>118</x:v>
      </x:c>
      <x:c r="E9" s="110" t="str">
        <x:v>active monthly subscribers</x:v>
      </x:c>
      <x:c r="F9" s="223" t="str">
        <x:v>CEILING(1000/(9.99*0.85),1)</x:v>
      </x:c>
      <x:c r="G9" s="111" t="str">
        <x:v>15% platform/payment fee.</x:v>
      </x:c>
    </x:row>
    <x:row r="10">
      <x:c r="A10" s="109" t="str">
        <x:v>Monthly subscription</x:v>
      </x:c>
      <x:c r="B10" s="110" t="str">
        <x:v>$9.99/month</x:v>
      </x:c>
      <x:c r="C10" s="110" t="str">
        <x:v>$1,000 owner profit/month</x:v>
      </x:c>
      <x:c r="D10" s="235" t="n">
        <x:f>CEILING((1000+150)/(9.99*0.85-0.25),1)</x:f>
        <x:v>140</x:v>
      </x:c>
      <x:c r="E10" s="110" t="str">
        <x:v>active monthly subscribers</x:v>
      </x:c>
      <x:c r="F10" s="223" t="str">
        <x:v>CEILING((1000+150)/(9.99*0.85-0.25),1)</x:v>
      </x:c>
      <x:c r="G10" s="111" t="str">
        <x:v>15% fee, $150 fixed cost, $0.25 variable cost per active subscriber.</x:v>
      </x:c>
    </x:row>
    <x:row r="11">
      <x:c r="A11" s="109" t="str">
        <x:v>Monthly subscription</x:v>
      </x:c>
      <x:c r="B11" s="110" t="str">
        <x:v>$19.99/month</x:v>
      </x:c>
      <x:c r="C11" s="110" t="str">
        <x:v>$1,000 gross/month</x:v>
      </x:c>
      <x:c r="D11" s="235" t="n">
        <x:f>CEILING(1000/19.99,1)</x:f>
        <x:v>51</x:v>
      </x:c>
      <x:c r="E11" s="110" t="str">
        <x:v>active monthly subscribers</x:v>
      </x:c>
      <x:c r="F11" s="223" t="str">
        <x:v>CEILING(1000/19.99,1)</x:v>
      </x:c>
      <x:c r="G11" s="111" t="str">
        <x:v>No refunds or tax.</x:v>
      </x:c>
    </x:row>
    <x:row r="12">
      <x:c r="A12" s="109" t="str">
        <x:v>Monthly subscription</x:v>
      </x:c>
      <x:c r="B12" s="110" t="str">
        <x:v>$19.99/month</x:v>
      </x:c>
      <x:c r="C12" s="110" t="str">
        <x:v>$1,000 proceeds/month</x:v>
      </x:c>
      <x:c r="D12" s="235" t="n">
        <x:f>CEILING(1000/(19.99*0.85),1)</x:f>
        <x:v>59</x:v>
      </x:c>
      <x:c r="E12" s="110" t="str">
        <x:v>active monthly subscribers</x:v>
      </x:c>
      <x:c r="F12" s="223" t="str">
        <x:v>CEILING(1000/(19.99*0.85),1)</x:v>
      </x:c>
      <x:c r="G12" s="111" t="str">
        <x:v>15% platform/payment fee.</x:v>
      </x:c>
    </x:row>
    <x:row r="13">
      <x:c r="A13" s="109" t="str">
        <x:v>Monthly subscription</x:v>
      </x:c>
      <x:c r="B13" s="110" t="str">
        <x:v>$19.99/month</x:v>
      </x:c>
      <x:c r="C13" s="110" t="str">
        <x:v>$1,000 owner profit/month</x:v>
      </x:c>
      <x:c r="D13" s="235" t="n">
        <x:f>CEILING((1000+150)/(19.99*0.85-0.25),1)</x:f>
        <x:v>69</x:v>
      </x:c>
      <x:c r="E13" s="110" t="str">
        <x:v>active monthly subscribers</x:v>
      </x:c>
      <x:c r="F13" s="223" t="str">
        <x:v>CEILING((1000+150)/(19.99*0.85-0.25),1)</x:v>
      </x:c>
      <x:c r="G13" s="111" t="str">
        <x:v>15% fee, $150 fixed cost, $0.25 variable cost per active subscriber.</x:v>
      </x:c>
    </x:row>
    <x:row r="14">
      <x:c r="A14" s="109" t="str">
        <x:v>Annual subscription (recognized monthly)</x:v>
      </x:c>
      <x:c r="B14" s="110" t="str">
        <x:v>$29.99/year</x:v>
      </x:c>
      <x:c r="C14" s="110" t="str">
        <x:v>$1,000 gross/month</x:v>
      </x:c>
      <x:c r="D14" s="235" t="n">
        <x:f>CEILING(1000/(29.99/12),1)</x:f>
        <x:v>401</x:v>
      </x:c>
      <x:c r="E14" s="110" t="str">
        <x:v>active annual subscribers</x:v>
      </x:c>
      <x:c r="F14" s="223" t="str">
        <x:v>CEILING(1000/(29.99/12),1)</x:v>
      </x:c>
      <x:c r="G14" s="111" t="str">
        <x:v>Straight-line revenue recognition; ignores cash timing.</x:v>
      </x:c>
    </x:row>
    <x:row r="15">
      <x:c r="A15" s="109" t="str">
        <x:v>Annual subscription (recognized monthly)</x:v>
      </x:c>
      <x:c r="B15" s="110" t="str">
        <x:v>$29.99/year</x:v>
      </x:c>
      <x:c r="C15" s="110" t="str">
        <x:v>$1,000 proceeds/month</x:v>
      </x:c>
      <x:c r="D15" s="235" t="n">
        <x:f>CEILING(1000/((29.99/12)*0.85),1)</x:f>
        <x:v>471</x:v>
      </x:c>
      <x:c r="E15" s="110" t="str">
        <x:v>active annual subscribers</x:v>
      </x:c>
      <x:c r="F15" s="223" t="str">
        <x:v>CEILING(1000/((29.99/12)*0.85),1)</x:v>
      </x:c>
      <x:c r="G15" s="111" t="str">
        <x:v>15% fee.</x:v>
      </x:c>
    </x:row>
    <x:row r="16">
      <x:c r="A16" s="109" t="str">
        <x:v>Annual subscription (recognized monthly)</x:v>
      </x:c>
      <x:c r="B16" s="110" t="str">
        <x:v>$29.99/year</x:v>
      </x:c>
      <x:c r="C16" s="110" t="str">
        <x:v>$1,000 owner profit/month</x:v>
      </x:c>
      <x:c r="D16" s="235" t="n">
        <x:f>CEILING((1000+150)/((29.99/12)*0.85-0.25),1)</x:f>
        <x:v>614</x:v>
      </x:c>
      <x:c r="E16" s="110" t="str">
        <x:v>active annual subscribers</x:v>
      </x:c>
      <x:c r="F16" s="223" t="str">
        <x:v>CEILING((1000+150)/((29.99/12)*0.85-0.25),1)</x:v>
      </x:c>
      <x:c r="G16" s="111" t="str">
        <x:v>15% fee, $150 fixed, $0.25 variable per active subscriber.</x:v>
      </x:c>
    </x:row>
    <x:row r="17">
      <x:c r="A17" s="109" t="str">
        <x:v>Annual subscription (recognized monthly)</x:v>
      </x:c>
      <x:c r="B17" s="110" t="str">
        <x:v>$49.99/year</x:v>
      </x:c>
      <x:c r="C17" s="110" t="str">
        <x:v>$1,000 gross/month</x:v>
      </x:c>
      <x:c r="D17" s="235" t="n">
        <x:f>CEILING(1000/(49.99/12),1)</x:f>
        <x:v>241</x:v>
      </x:c>
      <x:c r="E17" s="110" t="str">
        <x:v>active annual subscribers</x:v>
      </x:c>
      <x:c r="F17" s="223" t="str">
        <x:v>CEILING(1000/(49.99/12),1)</x:v>
      </x:c>
      <x:c r="G17" s="111" t="str">
        <x:v>Straight-line revenue recognition; ignores cash timing.</x:v>
      </x:c>
    </x:row>
    <x:row r="18">
      <x:c r="A18" s="109" t="str">
        <x:v>Annual subscription (recognized monthly)</x:v>
      </x:c>
      <x:c r="B18" s="110" t="str">
        <x:v>$49.99/year</x:v>
      </x:c>
      <x:c r="C18" s="110" t="str">
        <x:v>$1,000 proceeds/month</x:v>
      </x:c>
      <x:c r="D18" s="235" t="n">
        <x:f>CEILING(1000/((49.99/12)*0.85),1)</x:f>
        <x:v>283</x:v>
      </x:c>
      <x:c r="E18" s="110" t="str">
        <x:v>active annual subscribers</x:v>
      </x:c>
      <x:c r="F18" s="223" t="str">
        <x:v>CEILING(1000/((49.99/12)*0.85),1)</x:v>
      </x:c>
      <x:c r="G18" s="111" t="str">
        <x:v>15% fee.</x:v>
      </x:c>
    </x:row>
    <x:row r="19">
      <x:c r="A19" s="109" t="str">
        <x:v>Annual subscription (recognized monthly)</x:v>
      </x:c>
      <x:c r="B19" s="110" t="str">
        <x:v>$49.99/year</x:v>
      </x:c>
      <x:c r="C19" s="110" t="str">
        <x:v>$1,000 owner profit/month</x:v>
      </x:c>
      <x:c r="D19" s="235" t="n">
        <x:f>CEILING((1000+150)/((49.99/12)*0.85-0.25),1)</x:f>
        <x:v>350</x:v>
      </x:c>
      <x:c r="E19" s="110" t="str">
        <x:v>active annual subscribers</x:v>
      </x:c>
      <x:c r="F19" s="223" t="str">
        <x:v>CEILING((1000+150)/((49.99/12)*0.85-0.25),1)</x:v>
      </x:c>
      <x:c r="G19" s="111" t="str">
        <x:v>15% fee, $150 fixed, $0.25 variable per active subscriber.</x:v>
      </x:c>
    </x:row>
    <x:row r="20">
      <x:c r="A20" s="109" t="str">
        <x:v>Annual subscription (recognized monthly)</x:v>
      </x:c>
      <x:c r="B20" s="110" t="str">
        <x:v>$79.99/year</x:v>
      </x:c>
      <x:c r="C20" s="110" t="str">
        <x:v>$1,000 gross/month</x:v>
      </x:c>
      <x:c r="D20" s="235" t="n">
        <x:f>CEILING(1000/(79.99/12),1)</x:f>
        <x:v>151</x:v>
      </x:c>
      <x:c r="E20" s="110" t="str">
        <x:v>active annual subscribers</x:v>
      </x:c>
      <x:c r="F20" s="223" t="str">
        <x:v>CEILING(1000/(79.99/12),1)</x:v>
      </x:c>
      <x:c r="G20" s="111" t="str">
        <x:v>Straight-line revenue recognition; ignores cash timing.</x:v>
      </x:c>
    </x:row>
    <x:row r="21">
      <x:c r="A21" s="109" t="str">
        <x:v>Annual subscription (recognized monthly)</x:v>
      </x:c>
      <x:c r="B21" s="110" t="str">
        <x:v>$79.99/year</x:v>
      </x:c>
      <x:c r="C21" s="110" t="str">
        <x:v>$1,000 proceeds/month</x:v>
      </x:c>
      <x:c r="D21" s="235" t="n">
        <x:f>CEILING(1000/((79.99/12)*0.85),1)</x:f>
        <x:v>177</x:v>
      </x:c>
      <x:c r="E21" s="110" t="str">
        <x:v>active annual subscribers</x:v>
      </x:c>
      <x:c r="F21" s="223" t="str">
        <x:v>CEILING(1000/((79.99/12)*0.85),1)</x:v>
      </x:c>
      <x:c r="G21" s="111" t="str">
        <x:v>15% fee.</x:v>
      </x:c>
    </x:row>
    <x:row r="22">
      <x:c r="A22" s="109" t="str">
        <x:v>Annual subscription (recognized monthly)</x:v>
      </x:c>
      <x:c r="B22" s="110" t="str">
        <x:v>$79.99/year</x:v>
      </x:c>
      <x:c r="C22" s="110" t="str">
        <x:v>$1,000 owner profit/month</x:v>
      </x:c>
      <x:c r="D22" s="235" t="n">
        <x:f>CEILING((1000+150)/((79.99/12)*0.85-0.25),1)</x:f>
        <x:v>213</x:v>
      </x:c>
      <x:c r="E22" s="110" t="str">
        <x:v>active annual subscribers</x:v>
      </x:c>
      <x:c r="F22" s="223" t="str">
        <x:v>CEILING((1000+150)/((79.99/12)*0.85-0.25),1)</x:v>
      </x:c>
      <x:c r="G22" s="111" t="str">
        <x:v>15% fee, $150 fixed, $0.25 variable per active subscriber.</x:v>
      </x:c>
    </x:row>
    <x:row r="23">
      <x:c r="A23" s="109" t="str">
        <x:v>Launch cohort downloads</x:v>
      </x:c>
      <x:c r="B23" s="110" t="str">
        <x:v>D60 RPI $0.11</x:v>
      </x:c>
      <x:c r="C23" s="110" t="str">
        <x:v>$1,000 cumulative D60 revenue</x:v>
      </x:c>
      <x:c r="D23" s="235" t="n">
        <x:f>CEILING(1000/0.11,1)</x:f>
        <x:v>9091</x:v>
      </x:c>
      <x:c r="E23" s="110" t="str">
        <x:v>cohort installs</x:v>
      </x:c>
      <x:c r="F23" s="223" t="str">
        <x:v>CEILING(1000/0.11,1)</x:v>
      </x:c>
      <x:c r="G23" s="111" t="str">
        <x:v>RevenueCat selected subscription-app cohort; cumulative cohort revenue, not monthly recurring revenue.</x:v>
      </x:c>
    </x:row>
    <x:row r="24">
      <x:c r="A24" s="109" t="str">
        <x:v>Launch cohort downloads</x:v>
      </x:c>
      <x:c r="B24" s="110" t="str">
        <x:v>D60 RPI $0.34</x:v>
      </x:c>
      <x:c r="C24" s="110" t="str">
        <x:v>$1,000 cumulative D60 revenue</x:v>
      </x:c>
      <x:c r="D24" s="235" t="n">
        <x:f>CEILING(1000/0.34,1)</x:f>
        <x:v>2942</x:v>
      </x:c>
      <x:c r="E24" s="110" t="str">
        <x:v>cohort installs</x:v>
      </x:c>
      <x:c r="F24" s="223" t="str">
        <x:v>CEILING(1000/0.34,1)</x:v>
      </x:c>
      <x:c r="G24" s="111" t="str">
        <x:v>RevenueCat selected subscription-app cohort; cumulative cohort revenue, not monthly recurring revenue.</x:v>
      </x:c>
    </x:row>
    <x:row r="25">
      <x:c r="A25" s="109" t="str">
        <x:v>Launch cohort downloads</x:v>
      </x:c>
      <x:c r="B25" s="110" t="str">
        <x:v>D60 RPI $0.55</x:v>
      </x:c>
      <x:c r="C25" s="110" t="str">
        <x:v>$1,000 cumulative D60 revenue</x:v>
      </x:c>
      <x:c r="D25" s="235" t="n">
        <x:f>CEILING(1000/0.55,1)</x:f>
        <x:v>1819</x:v>
      </x:c>
      <x:c r="E25" s="110" t="str">
        <x:v>cohort installs</x:v>
      </x:c>
      <x:c r="F25" s="223" t="str">
        <x:v>CEILING(1000/0.55,1)</x:v>
      </x:c>
      <x:c r="G25" s="111" t="str">
        <x:v>RevenueCat selected subscription-app cohort; cumulative cohort revenue, not monthly recurring revenue.</x:v>
      </x:c>
    </x:row>
    <x:row r="26">
      <x:c r="A26" s="109" t="str">
        <x:v>Launch cohort downloads</x:v>
      </x:c>
      <x:c r="B26" s="110" t="str">
        <x:v>D60 RPI $0.66</x:v>
      </x:c>
      <x:c r="C26" s="110" t="str">
        <x:v>$1,000 cumulative D60 revenue</x:v>
      </x:c>
      <x:c r="D26" s="235" t="n">
        <x:f>CEILING(1000/0.66,1)</x:f>
        <x:v>1516</x:v>
      </x:c>
      <x:c r="E26" s="110" t="str">
        <x:v>cohort installs</x:v>
      </x:c>
      <x:c r="F26" s="223" t="str">
        <x:v>CEILING(1000/0.66,1)</x:v>
      </x:c>
      <x:c r="G26" s="111" t="str">
        <x:v>RevenueCat selected subscription-app cohort; cumulative cohort revenue, not monthly recurring revenue.</x:v>
      </x:c>
    </x:row>
    <x:row r="27">
      <x:c r="A27" s="109" t="str">
        <x:v>Subscription acquisition</x:v>
      </x:c>
      <x:c r="B27" s="110" t="str">
        <x:v>0.7% download-to-paid</x:v>
      </x:c>
      <x:c r="C27" s="110" t="str">
        <x:v>118 active subscribers at $9.99 (about $1k proceeds)</x:v>
      </x:c>
      <x:c r="D27" s="235" t="n">
        <x:f>CEILING(118/0.007,1)</x:f>
        <x:v>16858</x:v>
      </x:c>
      <x:c r="E27" s="110" t="str">
        <x:v>downloads before churn</x:v>
      </x:c>
      <x:c r="F27" s="223" t="str">
        <x:v>CEILING(118/0.007,1)</x:v>
      </x:c>
      <x:c r="G27" s="111" t="str">
        <x:v>No churn in acquisition count; at 10% monthly churn and 2% conversion, about 590 new downloads/month are needed to maintain 118 subscribers.</x:v>
      </x:c>
    </x:row>
    <x:row r="28">
      <x:c r="A28" s="109" t="str">
        <x:v>Subscription acquisition</x:v>
      </x:c>
      <x:c r="B28" s="110" t="str">
        <x:v>2.0% download-to-paid</x:v>
      </x:c>
      <x:c r="C28" s="110" t="str">
        <x:v>118 active subscribers at $9.99 (about $1k proceeds)</x:v>
      </x:c>
      <x:c r="D28" s="235" t="n">
        <x:f>CEILING(118/0.02,1)</x:f>
        <x:v>5900</x:v>
      </x:c>
      <x:c r="E28" s="110" t="str">
        <x:v>downloads before churn</x:v>
      </x:c>
      <x:c r="F28" s="223" t="str">
        <x:v>CEILING(118/0.02,1)</x:v>
      </x:c>
      <x:c r="G28" s="111" t="str">
        <x:v>No churn in acquisition count; at 10% monthly churn and 2% conversion, about 590 new downloads/month are needed to maintain 118 subscribers.</x:v>
      </x:c>
    </x:row>
    <x:row r="29">
      <x:c r="A29" s="109" t="str">
        <x:v>Subscription acquisition</x:v>
      </x:c>
      <x:c r="B29" s="110" t="str">
        <x:v>2.8% download-to-paid</x:v>
      </x:c>
      <x:c r="C29" s="110" t="str">
        <x:v>118 active subscribers at $9.99 (about $1k proceeds)</x:v>
      </x:c>
      <x:c r="D29" s="235" t="n">
        <x:f>CEILING(118/0.028,1)</x:f>
        <x:v>4215</x:v>
      </x:c>
      <x:c r="E29" s="110" t="str">
        <x:v>downloads before churn</x:v>
      </x:c>
      <x:c r="F29" s="223" t="str">
        <x:v>CEILING(118/0.028,1)</x:v>
      </x:c>
      <x:c r="G29" s="111" t="str">
        <x:v>No churn in acquisition count; at 10% monthly churn and 2% conversion, about 590 new downloads/month are needed to maintain 118 subscribers.</x:v>
      </x:c>
    </x:row>
    <x:row r="30">
      <x:c r="A30" s="109" t="str">
        <x:v>Advertising</x:v>
      </x:c>
      <x:c r="B30" s="110" t="str">
        <x:v>Conservative</x:v>
      </x:c>
      <x:c r="C30" s="110" t="str">
        <x:v>$1,000 gross ad revenue/month</x:v>
      </x:c>
      <x:c r="D30" s="235" t="n">
        <x:f>CEILING(1000/(8*1.5*0.8*1.5/1000),1)</x:f>
        <x:v>69445</x:v>
      </x:c>
      <x:c r="E30" s="110" t="str">
        <x:v>monthly active users</x:v>
      </x:c>
      <x:c r="F30" s="223" t="str">
        <x:v>CEILING(1000/(8*1.5*0.8*1.5/1000),1)</x:v>
      </x:c>
      <x:c r="G30" s="111" t="str">
        <x:v>8 sessions/MAU/month, 1.5 ads/session, 80% fill, $1.50 eCPM. Explicit scenario, not an observed universal rate.</x:v>
      </x:c>
    </x:row>
    <x:row r="31">
      <x:c r="A31" s="109" t="str">
        <x:v>Advertising</x:v>
      </x:c>
      <x:c r="B31" s="110" t="str">
        <x:v>Base</x:v>
      </x:c>
      <x:c r="C31" s="110" t="str">
        <x:v>$1,000 gross ad revenue/month</x:v>
      </x:c>
      <x:c r="D31" s="235" t="n">
        <x:f>CEILING(1000/(12*2*0.9*5/1000),1)</x:f>
        <x:v>9260</x:v>
      </x:c>
      <x:c r="E31" s="110" t="str">
        <x:v>monthly active users</x:v>
      </x:c>
      <x:c r="F31" s="223" t="str">
        <x:v>CEILING(1000/(12*2*0.9*5/1000),1)</x:v>
      </x:c>
      <x:c r="G31" s="111" t="str">
        <x:v>12 sessions/MAU/month, 2 ads/session, 90% fill, $5.00 eCPM. Explicit scenario, not an observed universal rate.</x:v>
      </x:c>
    </x:row>
    <x:row r="32">
      <x:c r="A32" s="109" t="str">
        <x:v>Advertising</x:v>
      </x:c>
      <x:c r="B32" s="110" t="str">
        <x:v>Strong</x:v>
      </x:c>
      <x:c r="C32" s="110" t="str">
        <x:v>$1,000 gross ad revenue/month</x:v>
      </x:c>
      <x:c r="D32" s="235" t="n">
        <x:f>CEILING(1000/(20*3*0.95*12/1000),1)</x:f>
        <x:v>1462</x:v>
      </x:c>
      <x:c r="E32" s="110" t="str">
        <x:v>monthly active users</x:v>
      </x:c>
      <x:c r="F32" s="223" t="str">
        <x:v>CEILING(1000/(20*3*0.95*12/1000),1)</x:v>
      </x:c>
      <x:c r="G32" s="111" t="str">
        <x:v>20 sessions/MAU/month, 3 ads/session, 95% fill, $12.00 eCPM. Explicit scenario, not an observed universal rate.</x:v>
      </x:c>
    </x:row>
    <x:row r="33">
      <x:c r="A33" s="109" t="str">
        <x:v>Commission / marketplace</x:v>
      </x:c>
      <x:c r="B33" s="110" t="str">
        <x:v>3% take rate</x:v>
      </x:c>
      <x:c r="C33" s="110" t="str">
        <x:v>$1,000 gross commission/month</x:v>
      </x:c>
      <x:c r="D33" s="235" t="n">
        <x:f>1000/0.03</x:f>
        <x:v>33333.333333333336</x:v>
      </x:c>
      <x:c r="E33" s="110" t="str">
        <x:v>monthly GMV</x:v>
      </x:c>
      <x:c r="F33" s="223" t="str">
        <x:v>1000/0.03</x:v>
      </x:c>
      <x:c r="G33" s="111" t="str">
        <x:v>Before payment losses, support, disputes, and incentives.</x:v>
      </x:c>
    </x:row>
    <x:row r="34">
      <x:c r="A34" s="109" t="str">
        <x:v>Commission / marketplace</x:v>
      </x:c>
      <x:c r="B34" s="110" t="str">
        <x:v>5% take rate</x:v>
      </x:c>
      <x:c r="C34" s="110" t="str">
        <x:v>$1,000 gross commission/month</x:v>
      </x:c>
      <x:c r="D34" s="235" t="n">
        <x:f>1000/0.05</x:f>
        <x:v>20000</x:v>
      </x:c>
      <x:c r="E34" s="110" t="str">
        <x:v>monthly GMV</x:v>
      </x:c>
      <x:c r="F34" s="223" t="str">
        <x:v>1000/0.05</x:v>
      </x:c>
      <x:c r="G34" s="111" t="str">
        <x:v>Before payment losses, support, disputes, and incentives.</x:v>
      </x:c>
    </x:row>
    <x:row r="35">
      <x:c r="A35" s="109" t="str">
        <x:v>Commission / marketplace</x:v>
      </x:c>
      <x:c r="B35" s="110" t="str">
        <x:v>10% take rate</x:v>
      </x:c>
      <x:c r="C35" s="110" t="str">
        <x:v>$1,000 gross commission/month</x:v>
      </x:c>
      <x:c r="D35" s="235" t="n">
        <x:f>1000/0.1</x:f>
        <x:v>10000</x:v>
      </x:c>
      <x:c r="E35" s="110" t="str">
        <x:v>monthly GMV</x:v>
      </x:c>
      <x:c r="F35" s="223" t="str">
        <x:v>1000/0.1</x:v>
      </x:c>
      <x:c r="G35" s="111" t="str">
        <x:v>Before payment losses, support, disputes, and incentives.</x:v>
      </x:c>
    </x:row>
    <x:row r="36">
      <x:c r="A36" s="109" t="str">
        <x:v>Commission / marketplace</x:v>
      </x:c>
      <x:c r="B36" s="110" t="str">
        <x:v>15% take rate</x:v>
      </x:c>
      <x:c r="C36" s="110" t="str">
        <x:v>$1,000 gross commission/month</x:v>
      </x:c>
      <x:c r="D36" s="235" t="n">
        <x:f>1000/0.15</x:f>
        <x:v>6666.666666666667</x:v>
      </x:c>
      <x:c r="E36" s="110" t="str">
        <x:v>monthly GMV</x:v>
      </x:c>
      <x:c r="F36" s="223" t="str">
        <x:v>1000/0.15</x:v>
      </x:c>
      <x:c r="G36" s="111" t="str">
        <x:v>Before payment losses, support, disputes, and incentives.</x:v>
      </x:c>
    </x:row>
    <x:row r="37">
      <x:c r="A37" s="109" t="str">
        <x:v>Paid download</x:v>
      </x:c>
      <x:c r="B37" s="110" t="str">
        <x:v>$0.99 price</x:v>
      </x:c>
      <x:c r="C37" s="110" t="str">
        <x:v>$1,000 gross/month</x:v>
      </x:c>
      <x:c r="D37" s="235" t="n">
        <x:f>CEILING(1000/0.99,1)</x:f>
        <x:v>1011</x:v>
      </x:c>
      <x:c r="E37" s="110" t="str">
        <x:v>paid downloads/month</x:v>
      </x:c>
      <x:c r="F37" s="223" t="str">
        <x:v>CEILING(1000/0.99,1)</x:v>
      </x:c>
      <x:c r="G37" s="111" t="str">
        <x:v>No refunds or tax.</x:v>
      </x:c>
    </x:row>
    <x:row r="38">
      <x:c r="A38" s="109" t="str">
        <x:v>Paid download</x:v>
      </x:c>
      <x:c r="B38" s="110" t="str">
        <x:v>$0.99 price</x:v>
      </x:c>
      <x:c r="C38" s="110" t="str">
        <x:v>$1,000 proceeds/month</x:v>
      </x:c>
      <x:c r="D38" s="235" t="n">
        <x:f>CEILING(1000/(0.99*0.85),1)</x:f>
        <x:v>1189</x:v>
      </x:c>
      <x:c r="E38" s="110" t="str">
        <x:v>paid downloads/month</x:v>
      </x:c>
      <x:c r="F38" s="223" t="str">
        <x:v>CEILING(1000/(0.99*0.85),1)</x:v>
      </x:c>
      <x:c r="G38" s="111" t="str">
        <x:v>15% fee.</x:v>
      </x:c>
    </x:row>
    <x:row r="39">
      <x:c r="A39" s="109" t="str">
        <x:v>Paid download</x:v>
      </x:c>
      <x:c r="B39" s="110" t="str">
        <x:v>$2.99 price</x:v>
      </x:c>
      <x:c r="C39" s="110" t="str">
        <x:v>$1,000 gross/month</x:v>
      </x:c>
      <x:c r="D39" s="235" t="n">
        <x:f>CEILING(1000/2.99,1)</x:f>
        <x:v>335</x:v>
      </x:c>
      <x:c r="E39" s="110" t="str">
        <x:v>paid downloads/month</x:v>
      </x:c>
      <x:c r="F39" s="223" t="str">
        <x:v>CEILING(1000/2.99,1)</x:v>
      </x:c>
      <x:c r="G39" s="111" t="str">
        <x:v>No refunds or tax.</x:v>
      </x:c>
    </x:row>
    <x:row r="40">
      <x:c r="A40" s="109" t="str">
        <x:v>Paid download</x:v>
      </x:c>
      <x:c r="B40" s="110" t="str">
        <x:v>$2.99 price</x:v>
      </x:c>
      <x:c r="C40" s="110" t="str">
        <x:v>$1,000 proceeds/month</x:v>
      </x:c>
      <x:c r="D40" s="235" t="n">
        <x:f>CEILING(1000/(2.99*0.85),1)</x:f>
        <x:v>394</x:v>
      </x:c>
      <x:c r="E40" s="110" t="str">
        <x:v>paid downloads/month</x:v>
      </x:c>
      <x:c r="F40" s="223" t="str">
        <x:v>CEILING(1000/(2.99*0.85),1)</x:v>
      </x:c>
      <x:c r="G40" s="111" t="str">
        <x:v>15% fee.</x:v>
      </x:c>
    </x:row>
    <x:row r="41">
      <x:c r="A41" s="109" t="str">
        <x:v>Paid download</x:v>
      </x:c>
      <x:c r="B41" s="110" t="str">
        <x:v>$4.99 price</x:v>
      </x:c>
      <x:c r="C41" s="110" t="str">
        <x:v>$1,000 gross/month</x:v>
      </x:c>
      <x:c r="D41" s="235" t="n">
        <x:f>CEILING(1000/4.99,1)</x:f>
        <x:v>201</x:v>
      </x:c>
      <x:c r="E41" s="110" t="str">
        <x:v>paid downloads/month</x:v>
      </x:c>
      <x:c r="F41" s="223" t="str">
        <x:v>CEILING(1000/4.99,1)</x:v>
      </x:c>
      <x:c r="G41" s="111" t="str">
        <x:v>No refunds or tax.</x:v>
      </x:c>
    </x:row>
    <x:row r="42">
      <x:c r="A42" s="109" t="str">
        <x:v>Paid download</x:v>
      </x:c>
      <x:c r="B42" s="110" t="str">
        <x:v>$4.99 price</x:v>
      </x:c>
      <x:c r="C42" s="110" t="str">
        <x:v>$1,000 proceeds/month</x:v>
      </x:c>
      <x:c r="D42" s="235" t="n">
        <x:f>CEILING(1000/(4.99*0.85),1)</x:f>
        <x:v>236</x:v>
      </x:c>
      <x:c r="E42" s="110" t="str">
        <x:v>paid downloads/month</x:v>
      </x:c>
      <x:c r="F42" s="223" t="str">
        <x:v>CEILING(1000/(4.99*0.85),1)</x:v>
      </x:c>
      <x:c r="G42" s="111" t="str">
        <x:v>15% fee.</x:v>
      </x:c>
    </x:row>
    <x:row r="43">
      <x:c r="A43" s="109" t="str">
        <x:v>Paid download</x:v>
      </x:c>
      <x:c r="B43" s="110" t="str">
        <x:v>$9.99 price</x:v>
      </x:c>
      <x:c r="C43" s="110" t="str">
        <x:v>$1,000 gross/month</x:v>
      </x:c>
      <x:c r="D43" s="235" t="n">
        <x:f>CEILING(1000/9.99,1)</x:f>
        <x:v>101</x:v>
      </x:c>
      <x:c r="E43" s="110" t="str">
        <x:v>paid downloads/month</x:v>
      </x:c>
      <x:c r="F43" s="223" t="str">
        <x:v>CEILING(1000/9.99,1)</x:v>
      </x:c>
      <x:c r="G43" s="111" t="str">
        <x:v>No refunds or tax.</x:v>
      </x:c>
    </x:row>
    <x:row r="44">
      <x:c r="A44" s="109" t="str">
        <x:v>Paid download</x:v>
      </x:c>
      <x:c r="B44" s="110" t="str">
        <x:v>$9.99 price</x:v>
      </x:c>
      <x:c r="C44" s="110" t="str">
        <x:v>$1,000 proceeds/month</x:v>
      </x:c>
      <x:c r="D44" s="235" t="n">
        <x:f>CEILING(1000/(9.99*0.85),1)</x:f>
        <x:v>118</x:v>
      </x:c>
      <x:c r="E44" s="110" t="str">
        <x:v>paid downloads/month</x:v>
      </x:c>
      <x:c r="F44" s="223" t="str">
        <x:v>CEILING(1000/(9.99*0.85),1)</x:v>
      </x:c>
      <x:c r="G44" s="111" t="str">
        <x:v>15% fee.</x:v>
      </x:c>
    </x:row>
    <x:row r="45">
      <x:c r="A45" s="109" t="str">
        <x:v>Gross-to-profit bridge</x:v>
      </x:c>
      <x:c r="B45" s="110" t="str">
        <x:v>Lean</x:v>
      </x:c>
      <x:c r="C45" s="110" t="str">
        <x:v>$1,000 owner profit/month</x:v>
      </x:c>
      <x:c r="D45" s="235" t="n">
        <x:f>(1000+150)/(1-0.15-0.05)</x:f>
        <x:v>1437.5000000000002</x:v>
      </x:c>
      <x:c r="E45" s="110" t="str">
        <x:v>gross monthly revenue</x:v>
      </x:c>
      <x:c r="F45" s="223" t="str">
        <x:v>(1000+150)/(1-0.15-0.05)</x:v>
      </x:c>
      <x:c r="G45" s="111" t="str">
        <x:v>15% platform/payment fee, 5% variable operating/acquisition cost, $150 fixed monthly cost.</x:v>
      </x:c>
    </x:row>
    <x:row r="46">
      <x:c r="A46" s="109" t="str">
        <x:v>Gross-to-profit bridge</x:v>
      </x:c>
      <x:c r="B46" s="110" t="str">
        <x:v>API-heavy</x:v>
      </x:c>
      <x:c r="C46" s="110" t="str">
        <x:v>$1,000 owner profit/month</x:v>
      </x:c>
      <x:c r="D46" s="235" t="n">
        <x:f>(1000+500)/(1-0.15-0.15)</x:f>
        <x:v>2142.857142857143</x:v>
      </x:c>
      <x:c r="E46" s="110" t="str">
        <x:v>gross monthly revenue</x:v>
      </x:c>
      <x:c r="F46" s="223" t="str">
        <x:v>(1000+500)/(1-0.15-0.15)</x:v>
      </x:c>
      <x:c r="G46" s="111" t="str">
        <x:v>15% platform/payment fee, 15% variable operating/acquisition cost, $500 fixed monthly cost.</x:v>
      </x:c>
    </x:row>
    <x:row r="47">
      <x:c r="A47" s="109" t="str">
        <x:v>Gross-to-profit bridge</x:v>
      </x:c>
      <x:c r="B47" s="110" t="str">
        <x:v>Paid acquisition</x:v>
      </x:c>
      <x:c r="C47" s="110" t="str">
        <x:v>$1,000 owner profit/month</x:v>
      </x:c>
      <x:c r="D47" s="235" t="n">
        <x:f>(1000+500)/(1-0.15-0.3)</x:f>
        <x:v>2727.272727272727</x:v>
      </x:c>
      <x:c r="E47" s="110" t="str">
        <x:v>gross monthly revenue</x:v>
      </x:c>
      <x:c r="F47" s="223" t="str">
        <x:v>(1000+500)/(1-0.15-0.3)</x:v>
      </x:c>
      <x:c r="G47" s="111" t="str">
        <x:v>15% platform/payment fee, 30% variable operating/acquisition cost, $500 fixed monthly cost.</x:v>
      </x:c>
    </x:row>
    <x:row r="48">
      <x:c r="A48" s="109" t="str">
        <x:v>Gross-to-profit bridge</x:v>
      </x:c>
      <x:c r="B48" s="110" t="str">
        <x:v>High fee / high UA</x:v>
      </x:c>
      <x:c r="C48" s="110" t="str">
        <x:v>$1,000 owner profit/month</x:v>
      </x:c>
      <x:c r="D48" s="235" t="n">
        <x:f>(1000+500)/(1-0.3-0.3)</x:f>
        <x:v>3750.0000000000005</x:v>
      </x:c>
      <x:c r="E48" s="110" t="str">
        <x:v>gross monthly revenue</x:v>
      </x:c>
      <x:c r="F48" s="223" t="str">
        <x:v>(1000+500)/(1-0.3-0.3)</x:v>
      </x:c>
      <x:c r="G48" s="111" t="str">
        <x:v>30% platform/payment fee, 30% variable operating/acquisition cost, $500 fixed monthly cost.</x:v>
      </x:c>
    </x:row>
    <x:row r="49">
      <x:c r="A49" s="109" t="str">
        <x:v>Gross-to-profit bridge</x:v>
      </x:c>
      <x:c r="B49" s="110" t="str">
        <x:v>Lean full-time</x:v>
      </x:c>
      <x:c r="C49" s="110" t="str">
        <x:v>$5,000 owner profit/month</x:v>
      </x:c>
      <x:c r="D49" s="235" t="n">
        <x:f>(5000+300)/(1-0.15-0.05)</x:f>
        <x:v>6625.000000000001</x:v>
      </x:c>
      <x:c r="E49" s="110" t="str">
        <x:v>gross monthly revenue</x:v>
      </x:c>
      <x:c r="F49" s="223" t="str">
        <x:v>(5000+300)/(1-0.15-0.05)</x:v>
      </x:c>
      <x:c r="G49" s="111" t="str">
        <x:v>15% platform/payment fee, 5% variable operating/acquisition cost, $300 fixed monthly cost.</x:v>
      </x:c>
    </x:row>
    <x:row r="50">
      <x:c r="A50" s="109" t="str">
        <x:v>Gross-to-profit bridge</x:v>
      </x:c>
      <x:c r="B50" s="110" t="str">
        <x:v>API-heavy full-time</x:v>
      </x:c>
      <x:c r="C50" s="110" t="str">
        <x:v>$5,000 owner profit/month</x:v>
      </x:c>
      <x:c r="D50" s="235" t="n">
        <x:f>(5000+1000)/(1-0.15-0.15)</x:f>
        <x:v>8571.428571428572</x:v>
      </x:c>
      <x:c r="E50" s="110" t="str">
        <x:v>gross monthly revenue</x:v>
      </x:c>
      <x:c r="F50" s="223" t="str">
        <x:v>(5000+1000)/(1-0.15-0.15)</x:v>
      </x:c>
      <x:c r="G50" s="111" t="str">
        <x:v>15% platform/payment fee, 15% variable operating/acquisition cost, $1,000 fixed monthly cost.</x:v>
      </x:c>
    </x:row>
    <x:row r="51">
      <x:c r="A51" s="112" t="str">
        <x:v>Gross-to-profit bridge</x:v>
      </x:c>
      <x:c r="B51" s="113" t="str">
        <x:v>Paid acquisition full-time</x:v>
      </x:c>
      <x:c r="C51" s="113" t="str">
        <x:v>$5,000 owner profit/month</x:v>
      </x:c>
      <x:c r="D51" s="236" t="n">
        <x:f>(5000+1000)/(1-0.15-0.3)</x:f>
        <x:v>10909.090909090908</x:v>
      </x:c>
      <x:c r="E51" s="113" t="str">
        <x:v>gross monthly revenue</x:v>
      </x:c>
      <x:c r="F51" s="240" t="str">
        <x:v>(5000+1000)/(1-0.15-0.3)</x:v>
      </x:c>
      <x:c r="G51" s="114" t="str">
        <x:v>15% platform/payment fee, 30% variable operating/acquisition cost, $1,000 fixed monthly cost.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15" hidden="0" customWidth="1"/>
    <x:col min="4" max="4" width="24" hidden="0" customWidth="1"/>
    <x:col min="5" max="5" width="20" hidden="0" customWidth="1"/>
    <x:col min="6" max="6" width="14" hidden="0" customWidth="1"/>
    <x:col min="7" max="7" width="15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  <x:col min="12" max="12" width="23" hidden="0" customWidth="1"/>
    <x:col min="13" max="13" width="25" hidden="0" customWidth="1"/>
    <x:col min="14" max="14" width="54" hidden="0" customWidth="1"/>
    <x:col min="15" max="15" width="48" hidden="0" customWidth="1"/>
    <x:col min="16" max="16" width="10" hidden="0" customWidth="1"/>
    <x:col min="17" max="17" width="48" hidden="0" customWidth="1"/>
  </x:cols>
  <x:sheetData>
    <x:row r="1" ht="30" customHeight="1">
      <x:c r="A1" s="5" t="str">
        <x:v>App and Developer Case Evidence</x:v>
      </x:c>
    </x:row>
    <x:row r="2" ht="28" customHeight="1">
      <x:c r="A2" s="12" t="str">
        <x:v>Public disclosures and reconstructed cases. Selected evidence only; case frequencies are never used as prevalence estimates.</x:v>
      </x:c>
    </x:row>
    <x:row r="4">
      <x:c r="A4" s="28" t="str">
        <x:v>case_id</x:v>
      </x:c>
      <x:c r="B4" s="28" t="str">
        <x:v>name</x:v>
      </x:c>
      <x:c r="C4" s="28" t="str">
        <x:v>unit</x:v>
      </x:c>
      <x:c r="D4" s="28" t="str">
        <x:v>category</x:v>
      </x:c>
      <x:c r="E4" s="28" t="str">
        <x:v>monetization</x:v>
      </x:c>
      <x:c r="F4" s="28" t="str">
        <x:v>launch_date</x:v>
      </x:c>
      <x:c r="G4" s="28" t="str">
        <x:v>age_months_as_of_2026_07</x:v>
      </x:c>
      <x:c r="H4" s="28" t="str">
        <x:v>last_30d_revenue_usd</x:v>
      </x:c>
      <x:c r="I4" s="28" t="str">
        <x:v>mrr_usd</x:v>
      </x:c>
      <x:c r="J4" s="28" t="str">
        <x:v>active_subscriptions</x:v>
      </x:c>
      <x:c r="K4" s="28" t="str">
        <x:v>all_time_revenue_usd</x:v>
      </x:c>
      <x:c r="L4" s="28" t="str">
        <x:v>users_or_installs</x:v>
      </x:c>
      <x:c r="M4" s="28" t="str">
        <x:v>verification</x:v>
      </x:c>
      <x:c r="N4" s="28" t="str">
        <x:v>acquisition_or_context</x:v>
      </x:c>
      <x:c r="O4" s="28" t="str">
        <x:v>status_or_outcome</x:v>
      </x:c>
      <x:c r="P4" s="28" t="str">
        <x:v>source_id</x:v>
      </x:c>
      <x:c r="Q4" s="28" t="str">
        <x:v>bias_note</x:v>
      </x:c>
    </x:row>
    <x:row r="5">
      <x:c r="A5" s="260" t="str">
        <x:v>C01</x:v>
      </x:c>
      <x:c r="B5" s="261" t="str">
        <x:v>lovelee</x:v>
      </x:c>
      <x:c r="C5" s="261" t="str">
        <x:v>Single app</x:v>
      </x:c>
      <x:c r="D5" s="261" t="str">
        <x:v>Relationship / lifestyle</x:v>
      </x:c>
      <x:c r="E5" s="261" t="str">
        <x:v>Subscription</x:v>
      </x:c>
      <x:c r="F5" s="261" t="str">
        <x:v>2025-10</x:v>
      </x:c>
      <x:c r="G5" s="302" t="n">
        <x:v>9</x:v>
      </x:c>
      <x:c r="H5" s="296" t="n">
        <x:v>2657</x:v>
      </x:c>
      <x:c r="I5" s="296" t="n">
        <x:v>2413</x:v>
      </x:c>
      <x:c r="J5" s="302" t="n">
        <x:v>280</x:v>
      </x:c>
      <x:c r="K5" s="296" t="n">
        <x:v>48002</x:v>
      </x:c>
      <x:c r="L5" s="261" t="str">
        <x:v>Not disclosed</x:v>
      </x:c>
      <x:c r="M5" s="261" t="str">
        <x:v>Superwall API verified</x:v>
      </x:c>
      <x:c r="N5" s="261" t="str">
        <x:v>Audience-led launch; founder profile 148.8k followers</x:v>
      </x:c>
      <x:c r="O5" s="261" t="str">
        <x:v>Current; sustained history not established</x:v>
      </x:c>
      <x:c r="P5" s="261" t="str">
        <x:v>S16</x:v>
      </x:c>
      <x:c r="Q5" s="262" t="str">
        <x:v>High attribution, severe disclosure bias.</x:v>
      </x:c>
    </x:row>
    <x:row r="6">
      <x:c r="A6" s="263" t="str">
        <x:v>C02</x:v>
      </x:c>
      <x:c r="B6" s="264" t="str">
        <x:v>TrackAI</x:v>
      </x:c>
      <x:c r="C6" s="264" t="str">
        <x:v>Single app</x:v>
      </x:c>
      <x:c r="D6" s="264" t="str">
        <x:v>Health / calorie tracking</x:v>
      </x:c>
      <x:c r="E6" s="264" t="str">
        <x:v>Subscription</x:v>
      </x:c>
      <x:c r="F6" s="264" t="str">
        <x:v>2025-06</x:v>
      </x:c>
      <x:c r="G6" s="303" t="n">
        <x:v>13</x:v>
      </x:c>
      <x:c r="H6" s="297" t="n">
        <x:v>24365</x:v>
      </x:c>
      <x:c r="I6" s="297" t="n">
        <x:v>20342</x:v>
      </x:c>
      <x:c r="J6" s="303" t="n">
        <x:v>4865</x:v>
      </x:c>
      <x:c r="K6" s="297" t="str"/>
      <x:c r="L6" s="264" t="str">
        <x:v>327k+ installs</x:v>
      </x:c>
      <x:c r="M6" s="264" t="str">
        <x:v>RevenueCat verified</x:v>
      </x:c>
      <x:c r="N6" s="264" t="str">
        <x:v>Organic rankings; Android recently launched; sale listing</x:v>
      </x:c>
      <x:c r="O6" s="264" t="str">
        <x:v>Profitable since month two per founder; ~95% margin claim</x:v>
      </x:c>
      <x:c r="P6" s="264" t="str">
        <x:v>S17</x:v>
      </x:c>
      <x:c r="Q6" s="265" t="str">
        <x:v>Current revenue verified; profit/margin are founder claims.</x:v>
      </x:c>
    </x:row>
    <x:row r="7">
      <x:c r="A7" s="263" t="str">
        <x:v>C03</x:v>
      </x:c>
      <x:c r="B7" s="264" t="str">
        <x:v>3AK Track &amp; Field</x:v>
      </x:c>
      <x:c r="C7" s="264" t="str">
        <x:v>Single app</x:v>
      </x:c>
      <x:c r="D7" s="264" t="str">
        <x:v>Sports training</x:v>
      </x:c>
      <x:c r="E7" s="264" t="str">
        <x:v>Subscription</x:v>
      </x:c>
      <x:c r="F7" s="264" t="str">
        <x:v>2025-12</x:v>
      </x:c>
      <x:c r="G7" s="303" t="n">
        <x:v>7</x:v>
      </x:c>
      <x:c r="H7" s="297" t="n">
        <x:v>14448</x:v>
      </x:c>
      <x:c r="I7" s="297" t="n">
        <x:v>10082</x:v>
      </x:c>
      <x:c r="J7" s="303" t="n">
        <x:v>2885</x:v>
      </x:c>
      <x:c r="K7" s="297" t="str"/>
      <x:c r="L7" s="264" t="str">
        <x:v>Not disclosed</x:v>
      </x:c>
      <x:c r="M7" s="264" t="str">
        <x:v>RevenueCat verified</x:v>
      </x:c>
      <x:c r="N7" s="264" t="str">
        <x:v>Social and App Store organic; Meta $50-$100/day stated</x:v>
      </x:c>
      <x:c r="O7" s="264" t="str">
        <x:v>Seasonal dip; ~80% margin claim; for sale</x:v>
      </x:c>
      <x:c r="P7" s="264" t="str">
        <x:v>S18</x:v>
      </x:c>
      <x:c r="Q7" s="265" t="str">
        <x:v>Strong current case; sale and success selection.</x:v>
      </x:c>
    </x:row>
    <x:row r="8">
      <x:c r="A8" s="263" t="str">
        <x:v>C04</x:v>
      </x:c>
      <x:c r="B8" s="264" t="str">
        <x:v>GurjarApp</x:v>
      </x:c>
      <x:c r="C8" s="264" t="str">
        <x:v>Single app</x:v>
      </x:c>
      <x:c r="D8" s="264" t="str">
        <x:v>Community / social</x:v>
      </x:c>
      <x:c r="E8" s="264" t="str">
        <x:v>Mixed / ads potential</x:v>
      </x:c>
      <x:c r="F8" s="264" t="str">
        <x:v>2020-02</x:v>
      </x:c>
      <x:c r="G8" s="303" t="n">
        <x:v>77</x:v>
      </x:c>
      <x:c r="H8" s="297" t="n">
        <x:v>0</x:v>
      </x:c>
      <x:c r="I8" s="297" t="n">
        <x:v>0</x:v>
      </x:c>
      <x:c r="J8" s="303" t="n">
        <x:v>0</x:v>
      </x:c>
      <x:c r="K8" s="297" t="n">
        <x:v>2071</x:v>
      </x:c>
      <x:c r="L8" s="264" t="str">
        <x:v>212k users</x:v>
      </x:c>
      <x:c r="M8" s="264" t="str">
        <x:v>Stripe verified</x:v>
      </x:c>
      <x:c r="N8" s="264" t="str">
        <x:v>Weak activity; insufficient funds/time</x:v>
      </x:c>
      <x:c r="O8" s="264" t="str">
        <x:v>Zero current revenue; $100-$150 monthly costs; for sale</x:v>
      </x:c>
      <x:c r="P8" s="264" t="str">
        <x:v>S19</x:v>
      </x:c>
      <x:c r="Q8" s="265" t="str">
        <x:v>Counterexample: users do not imply monetization.</x:v>
      </x:c>
    </x:row>
    <x:row r="9">
      <x:c r="A9" s="263" t="str">
        <x:v>C05</x:v>
      </x:c>
      <x:c r="B9" s="264" t="str">
        <x:v>Mehroz Sheikh portfolio</x:v>
      </x:c>
      <x:c r="C9" s="264" t="str">
        <x:v>16-product portfolio</x:v>
      </x:c>
      <x:c r="D9" s="264" t="str">
        <x:v>Utilities / productivity / tools</x:v>
      </x:c>
      <x:c r="E9" s="264" t="str">
        <x:v>Mixed</x:v>
      </x:c>
      <x:c r="F9" s="264" t="str">
        <x:v>Unknown</x:v>
      </x:c>
      <x:c r="G9" s="303" t="str"/>
      <x:c r="H9" s="297" t="n">
        <x:v>855</x:v>
      </x:c>
      <x:c r="I9" s="297" t="n">
        <x:v>555</x:v>
      </x:c>
      <x:c r="J9" s="303" t="str"/>
      <x:c r="K9" s="297" t="n">
        <x:v>3878</x:v>
      </x:c>
      <x:c r="L9" s="264" t="str">
        <x:v>16 startups</x:v>
      </x:c>
      <x:c r="M9" s="264" t="str">
        <x:v>Multiple linked revenue accounts</x:v>
      </x:c>
      <x:c r="N9" s="264" t="str">
        <x:v>Portfolio iteration</x:v>
      </x:c>
      <x:c r="O9" s="264" t="str">
        <x:v>Many products at $0-$50 monthly; aggregate below $1k</x:v>
      </x:c>
      <x:c r="P9" s="264" t="str">
        <x:v>S20</x:v>
      </x:c>
      <x:c r="Q9" s="265" t="str">
        <x:v>Useful developer-level left tail; not a representative portfolio.</x:v>
      </x:c>
    </x:row>
    <x:row r="10">
      <x:c r="A10" s="263" t="str">
        <x:v>C06</x:v>
      </x:c>
      <x:c r="B10" s="264" t="str">
        <x:v>Noise Reducer</x:v>
      </x:c>
      <x:c r="C10" s="264" t="str">
        <x:v>Portfolio app</x:v>
      </x:c>
      <x:c r="D10" s="264" t="str">
        <x:v>Audio / video utility</x:v>
      </x:c>
      <x:c r="E10" s="264" t="str">
        <x:v>Subscription or IAP</x:v>
      </x:c>
      <x:c r="F10" s="264" t="str">
        <x:v>Unknown</x:v>
      </x:c>
      <x:c r="G10" s="303" t="str"/>
      <x:c r="H10" s="297" t="n">
        <x:v>144</x:v>
      </x:c>
      <x:c r="I10" s="297" t="n">
        <x:v>137</x:v>
      </x:c>
      <x:c r="J10" s="303" t="str"/>
      <x:c r="K10" s="297" t="n">
        <x:v>1200</x:v>
      </x:c>
      <x:c r="L10" s="264" t="str">
        <x:v>Not disclosed</x:v>
      </x:c>
      <x:c r="M10" s="264" t="str">
        <x:v>TrustMRR portfolio listing</x:v>
      </x:c>
      <x:c r="N10" s="264" t="str">
        <x:v>Unknown</x:v>
      </x:c>
      <x:c r="O10" s="264" t="str">
        <x:v>Low but nonzero current revenue</x:v>
      </x:c>
      <x:c r="P10" s="264" t="str">
        <x:v>S20</x:v>
      </x:c>
      <x:c r="Q10" s="265" t="str">
        <x:v>One app in a 16-product portfolio.</x:v>
      </x:c>
    </x:row>
    <x:row r="11">
      <x:c r="A11" s="263" t="str">
        <x:v>C07</x:v>
      </x:c>
      <x:c r="B11" s="264" t="str">
        <x:v>QR Scanner</x:v>
      </x:c>
      <x:c r="C11" s="264" t="str">
        <x:v>Portfolio app</x:v>
      </x:c>
      <x:c r="D11" s="264" t="str">
        <x:v>Utility</x:v>
      </x:c>
      <x:c r="E11" s="264" t="str">
        <x:v>Paid/IAP unknown</x:v>
      </x:c>
      <x:c r="F11" s="264" t="str">
        <x:v>Unknown</x:v>
      </x:c>
      <x:c r="G11" s="303" t="str"/>
      <x:c r="H11" s="297" t="n">
        <x:v>18</x:v>
      </x:c>
      <x:c r="I11" s="297" t="n">
        <x:v>18</x:v>
      </x:c>
      <x:c r="J11" s="303" t="str"/>
      <x:c r="K11" s="297" t="n">
        <x:v>179</x:v>
      </x:c>
      <x:c r="L11" s="264" t="str">
        <x:v>Not disclosed</x:v>
      </x:c>
      <x:c r="M11" s="264" t="str">
        <x:v>TrustMRR portfolio listing</x:v>
      </x:c>
      <x:c r="N11" s="264" t="str">
        <x:v>Unknown</x:v>
      </x:c>
      <x:c r="O11" s="264" t="str">
        <x:v>Low current revenue</x:v>
      </x:c>
      <x:c r="P11" s="264" t="str">
        <x:v>S20</x:v>
      </x:c>
      <x:c r="Q11" s="265" t="str">
        <x:v>Illustrates common utility-app tail.</x:v>
      </x:c>
    </x:row>
    <x:row r="12">
      <x:c r="A12" s="263" t="str">
        <x:v>C08</x:v>
      </x:c>
      <x:c r="B12" s="264" t="str">
        <x:v>Invoice Maker</x:v>
      </x:c>
      <x:c r="C12" s="264" t="str">
        <x:v>Portfolio app</x:v>
      </x:c>
      <x:c r="D12" s="264" t="str">
        <x:v>Business utility</x:v>
      </x:c>
      <x:c r="E12" s="264" t="str">
        <x:v>Subscription/IAP unknown</x:v>
      </x:c>
      <x:c r="F12" s="264" t="str">
        <x:v>Unknown</x:v>
      </x:c>
      <x:c r="G12" s="303" t="str"/>
      <x:c r="H12" s="297" t="n">
        <x:v>7</x:v>
      </x:c>
      <x:c r="I12" s="297" t="n">
        <x:v>9</x:v>
      </x:c>
      <x:c r="J12" s="303" t="str"/>
      <x:c r="K12" s="297" t="n">
        <x:v>63</x:v>
      </x:c>
      <x:c r="L12" s="264" t="str">
        <x:v>Not disclosed</x:v>
      </x:c>
      <x:c r="M12" s="264" t="str">
        <x:v>TrustMRR portfolio listing</x:v>
      </x:c>
      <x:c r="N12" s="264" t="str">
        <x:v>Unknown</x:v>
      </x:c>
      <x:c r="O12" s="264" t="str">
        <x:v>Low current revenue</x:v>
      </x:c>
      <x:c r="P12" s="264" t="str">
        <x:v>S20</x:v>
      </x:c>
      <x:c r="Q12" s="265" t="str">
        <x:v>Below even nominal software/tool costs.</x:v>
      </x:c>
    </x:row>
    <x:row r="13">
      <x:c r="A13" s="263" t="str">
        <x:v>C09</x:v>
      </x:c>
      <x:c r="B13" s="264" t="str">
        <x:v>MuslimFocus</x:v>
      </x:c>
      <x:c r="C13" s="264" t="str">
        <x:v>Portfolio app</x:v>
      </x:c>
      <x:c r="D13" s="264" t="str">
        <x:v>Focus / religion</x:v>
      </x:c>
      <x:c r="E13" s="264" t="str">
        <x:v>Subscription unknown</x:v>
      </x:c>
      <x:c r="F13" s="264" t="str">
        <x:v>Unknown</x:v>
      </x:c>
      <x:c r="G13" s="303" t="str"/>
      <x:c r="H13" s="297" t="n">
        <x:v>0</x:v>
      </x:c>
      <x:c r="I13" s="297" t="n">
        <x:v>2</x:v>
      </x:c>
      <x:c r="J13" s="303" t="str"/>
      <x:c r="K13" s="297" t="n">
        <x:v>41</x:v>
      </x:c>
      <x:c r="L13" s="264" t="str">
        <x:v>Not disclosed</x:v>
      </x:c>
      <x:c r="M13" s="264" t="str">
        <x:v>TrustMRR portfolio listing</x:v>
      </x:c>
      <x:c r="N13" s="264" t="str">
        <x:v>Unknown</x:v>
      </x:c>
      <x:c r="O13" s="264" t="str">
        <x:v>Near-zero current revenue</x:v>
      </x:c>
      <x:c r="P13" s="264" t="str">
        <x:v>S20</x:v>
      </x:c>
      <x:c r="Q13" s="265" t="str">
        <x:v>A maintained idea can remain commercially negligible.</x:v>
      </x:c>
    </x:row>
    <x:row r="14">
      <x:c r="A14" s="263" t="str">
        <x:v>C10</x:v>
      </x:c>
      <x:c r="B14" s="264" t="str">
        <x:v>Revo Reminder</x:v>
      </x:c>
      <x:c r="C14" s="264" t="str">
        <x:v>Portfolio app</x:v>
      </x:c>
      <x:c r="D14" s="264" t="str">
        <x:v>Productivity</x:v>
      </x:c>
      <x:c r="E14" s="264" t="str">
        <x:v>Unknown</x:v>
      </x:c>
      <x:c r="F14" s="264" t="str">
        <x:v>Unknown</x:v>
      </x:c>
      <x:c r="G14" s="303" t="str"/>
      <x:c r="H14" s="297" t="n">
        <x:v>0</x:v>
      </x:c>
      <x:c r="I14" s="297" t="n">
        <x:v>0</x:v>
      </x:c>
      <x:c r="J14" s="303" t="str"/>
      <x:c r="K14" s="297" t="n">
        <x:v>0</x:v>
      </x:c>
      <x:c r="L14" s="264" t="str">
        <x:v>Not disclosed</x:v>
      </x:c>
      <x:c r="M14" s="264" t="str">
        <x:v>TrustMRR portfolio listing</x:v>
      </x:c>
      <x:c r="N14" s="264" t="str">
        <x:v>Unknown</x:v>
      </x:c>
      <x:c r="O14" s="264" t="str">
        <x:v>Zero revenue</x:v>
      </x:c>
      <x:c r="P14" s="264" t="str">
        <x:v>S20</x:v>
      </x:c>
      <x:c r="Q14" s="265" t="str">
        <x:v>Explicit zero-revenue app in disclosed portfolio.</x:v>
      </x:c>
    </x:row>
    <x:row r="15">
      <x:c r="A15" s="263" t="str">
        <x:v>C11</x:v>
      </x:c>
      <x:c r="B15" s="264" t="str">
        <x:v>Bibly</x:v>
      </x:c>
      <x:c r="C15" s="264" t="str">
        <x:v>Single app</x:v>
      </x:c>
      <x:c r="D15" s="264" t="str">
        <x:v>Bible / religion</x:v>
      </x:c>
      <x:c r="E15" s="264" t="str">
        <x:v>Subscription</x:v>
      </x:c>
      <x:c r="F15" s="264" t="str">
        <x:v>2025-12</x:v>
      </x:c>
      <x:c r="G15" s="303" t="n">
        <x:v>7</x:v>
      </x:c>
      <x:c r="H15" s="297" t="n">
        <x:v>3306</x:v>
      </x:c>
      <x:c r="I15" s="297" t="n">
        <x:v>5264</x:v>
      </x:c>
      <x:c r="J15" s="303" t="n">
        <x:v>1053</x:v>
      </x:c>
      <x:c r="K15" s="297" t="str"/>
      <x:c r="L15" s="264" t="str">
        <x:v>Not disclosed</x:v>
      </x:c>
      <x:c r="M15" s="264" t="str">
        <x:v>RevenueCat verified</x:v>
      </x:c>
      <x:c r="N15" s="264" t="str">
        <x:v>Unknown</x:v>
      </x:c>
      <x:c r="O15" s="264" t="str">
        <x:v>Founder claims $138k annual revenue and 70% margin</x:v>
      </x:c>
      <x:c r="P15" s="264" t="str">
        <x:v>S21</x:v>
      </x:c>
      <x:c r="Q15" s="265" t="str">
        <x:v>MRR and last-30-day revenue differ; recurrence definitions matter.</x:v>
      </x:c>
    </x:row>
    <x:row r="16">
      <x:c r="A16" s="263" t="str">
        <x:v>C12</x:v>
      </x:c>
      <x:c r="B16" s="264" t="str">
        <x:v>Habit Pixel</x:v>
      </x:c>
      <x:c r="C16" s="264" t="str">
        <x:v>Single app</x:v>
      </x:c>
      <x:c r="D16" s="264" t="str">
        <x:v>Habit tracking</x:v>
      </x:c>
      <x:c r="E16" s="264" t="str">
        <x:v>Subscription</x:v>
      </x:c>
      <x:c r="F16" s="264" t="str">
        <x:v>Unknown</x:v>
      </x:c>
      <x:c r="G16" s="303" t="n">
        <x:v>8</x:v>
      </x:c>
      <x:c r="H16" s="297" t="str"/>
      <x:c r="I16" s="297" t="n">
        <x:v>1000</x:v>
      </x:c>
      <x:c r="J16" s="303" t="str"/>
      <x:c r="K16" s="297" t="n">
        <x:v>28</x:v>
      </x:c>
      <x:c r="L16" s="264" t="str">
        <x:v>Not disclosed</x:v>
      </x:c>
      <x:c r="M16" s="264" t="str">
        <x:v>Founder self-report</x:v>
      </x:c>
      <x:c r="N16" s="264" t="str">
        <x:v>Launch/community</x:v>
      </x:c>
      <x:c r="O16" s="264" t="str">
        <x:v>Reached $1k MRR after ~8 months</x:v>
      </x:c>
      <x:c r="P16" s="264" t="str">
        <x:v>S01</x:v>
      </x:c>
      <x:c r="Q16" s="265" t="str">
        <x:v>Lower-confidence threshold case from dossier.</x:v>
      </x:c>
    </x:row>
    <x:row r="17">
      <x:c r="A17" s="263" t="str">
        <x:v>C13</x:v>
      </x:c>
      <x:c r="B17" s="264" t="str">
        <x:v>Record Phone Calls</x:v>
      </x:c>
      <x:c r="C17" s="264" t="str">
        <x:v>Single app</x:v>
      </x:c>
      <x:c r="D17" s="264" t="str">
        <x:v>Utility</x:v>
      </x:c>
      <x:c r="E17" s="264" t="str">
        <x:v>Subscription/IAP</x:v>
      </x:c>
      <x:c r="F17" s="264" t="str">
        <x:v>Unknown</x:v>
      </x:c>
      <x:c r="G17" s="303" t="str"/>
      <x:c r="H17" s="297" t="n">
        <x:v>2900</x:v>
      </x:c>
      <x:c r="I17" s="297" t="str"/>
      <x:c r="J17" s="303" t="str"/>
      <x:c r="K17" s="297" t="str"/>
      <x:c r="L17" s="264" t="str">
        <x:v>7,800 downloads/month</x:v>
      </x:c>
      <x:c r="M17" s="264" t="str">
        <x:v>Founder self-report</x:v>
      </x:c>
      <x:c r="N17" s="264" t="str">
        <x:v>Search/organic unknown</x:v>
      </x:c>
      <x:c r="O17" s="264" t="str">
        <x:v>$2,080 stated profit; 93% margin claim</x:v>
      </x:c>
      <x:c r="P17" s="264" t="str">
        <x:v>S01</x:v>
      </x:c>
      <x:c r="Q17" s="265" t="str">
        <x:v>Profit and revenue period need independent verification.</x:v>
      </x:c>
    </x:row>
    <x:row r="18">
      <x:c r="A18" s="263" t="str">
        <x:v>C14</x:v>
      </x:c>
      <x:c r="B18" s="264" t="str">
        <x:v>Tic Tac Toe</x:v>
      </x:c>
      <x:c r="C18" s="264" t="str">
        <x:v>Single app</x:v>
      </x:c>
      <x:c r="D18" s="264" t="str">
        <x:v>Game</x:v>
      </x:c>
      <x:c r="E18" s="264" t="str">
        <x:v>Ads/IAP</x:v>
      </x:c>
      <x:c r="F18" s="264" t="str">
        <x:v>Unknown</x:v>
      </x:c>
      <x:c r="G18" s="303" t="str"/>
      <x:c r="H18" s="297" t="n">
        <x:v>700</x:v>
      </x:c>
      <x:c r="I18" s="297" t="str"/>
      <x:c r="J18" s="303" t="str"/>
      <x:c r="K18" s="297" t="str"/>
      <x:c r="L18" s="264" t="str">
        <x:v>50k installs</x:v>
      </x:c>
      <x:c r="M18" s="264" t="str">
        <x:v>Founder self-report</x:v>
      </x:c>
      <x:c r="N18" s="264" t="str">
        <x:v>Store distribution</x:v>
      </x:c>
      <x:c r="O18" s="264" t="str">
        <x:v>Stated $373 profit and 71% margin</x:v>
      </x:c>
      <x:c r="P18" s="264" t="str">
        <x:v>S01</x:v>
      </x:c>
      <x:c r="Q18" s="265" t="str">
        <x:v>Small game case; revenue basis and month unclear.</x:v>
      </x:c>
    </x:row>
    <x:row r="19">
      <x:c r="A19" s="263" t="str">
        <x:v>C15</x:v>
      </x:c>
      <x:c r="B19" s="264" t="str">
        <x:v>HiFace</x:v>
      </x:c>
      <x:c r="C19" s="264" t="str">
        <x:v>Single app</x:v>
      </x:c>
      <x:c r="D19" s="264" t="str">
        <x:v>Photo / face analysis</x:v>
      </x:c>
      <x:c r="E19" s="264" t="str">
        <x:v>Subscription/IAP</x:v>
      </x:c>
      <x:c r="F19" s="264" t="str">
        <x:v>Unknown</x:v>
      </x:c>
      <x:c r="G19" s="303" t="str"/>
      <x:c r="H19" s="297" t="n">
        <x:v>37962</x:v>
      </x:c>
      <x:c r="I19" s="297" t="str"/>
      <x:c r="J19" s="303" t="str"/>
      <x:c r="K19" s="297" t="n">
        <x:v>455754</x:v>
      </x:c>
      <x:c r="L19" s="264" t="str">
        <x:v>500k MAU</x:v>
      </x:c>
      <x:c r="M19" s="264" t="str">
        <x:v>Founder / marketplace disclosure</x:v>
      </x:c>
      <x:c r="N19" s="264" t="str">
        <x:v>Organic/paid unknown</x:v>
      </x:c>
      <x:c r="O19" s="264" t="str">
        <x:v>About $30k monthly net profit and 96% margin claimed</x:v>
      </x:c>
      <x:c r="P19" s="264" t="str">
        <x:v>S01</x:v>
      </x:c>
      <x:c r="Q19" s="265" t="str">
        <x:v>Large outlier; not near-threshold.</x:v>
      </x:c>
    </x:row>
    <x:row r="20">
      <x:c r="A20" s="263" t="str">
        <x:v>C16</x:v>
      </x:c>
      <x:c r="B20" s="264" t="str">
        <x:v>ARTMVSTD portfolio</x:v>
      </x:c>
      <x:c r="C20" s="264" t="str">
        <x:v>30-app portfolio</x:v>
      </x:c>
      <x:c r="D20" s="264" t="str">
        <x:v>Mixed</x:v>
      </x:c>
      <x:c r="E20" s="264" t="str">
        <x:v>Mixed</x:v>
      </x:c>
      <x:c r="F20" s="264" t="str">
        <x:v>Unknown</x:v>
      </x:c>
      <x:c r="G20" s="303" t="str"/>
      <x:c r="H20" s="297" t="n">
        <x:v>22000</x:v>
      </x:c>
      <x:c r="I20" s="297" t="n">
        <x:v>22000</x:v>
      </x:c>
      <x:c r="J20" s="303" t="str"/>
      <x:c r="K20" s="297" t="str"/>
      <x:c r="L20" s="264" t="str">
        <x:v>30 apps</x:v>
      </x:c>
      <x:c r="M20" s="264" t="str">
        <x:v>Founder self-report</x:v>
      </x:c>
      <x:c r="N20" s="264" t="str">
        <x:v>Portfolio strategy</x:v>
      </x:c>
      <x:c r="O20" s="264" t="str">
        <x:v>Developer-level success concentrated across many apps</x:v>
      </x:c>
      <x:c r="P20" s="264" t="str">
        <x:v>S01</x:v>
      </x:c>
      <x:c r="Q20" s="265" t="str">
        <x:v>Strong portfolio illustration; no representative denominator.</x:v>
      </x:c>
    </x:row>
    <x:row r="21">
      <x:c r="A21" s="263" t="str">
        <x:v>C17</x:v>
      </x:c>
      <x:c r="B21" s="264" t="str">
        <x:v>GetSumm</x:v>
      </x:c>
      <x:c r="C21" s="264" t="str">
        <x:v>Single app</x:v>
      </x:c>
      <x:c r="D21" s="264" t="str">
        <x:v>AI / summarization</x:v>
      </x:c>
      <x:c r="E21" s="264" t="str">
        <x:v>Subscription</x:v>
      </x:c>
      <x:c r="F21" s="264" t="str">
        <x:v>Unknown</x:v>
      </x:c>
      <x:c r="G21" s="303" t="str"/>
      <x:c r="H21" s="297" t="n">
        <x:v>10</x:v>
      </x:c>
      <x:c r="I21" s="297" t="n">
        <x:v>10</x:v>
      </x:c>
      <x:c r="J21" s="303" t="n">
        <x:v>1</x:v>
      </x:c>
      <x:c r="K21" s="297" t="str"/>
      <x:c r="L21" s="264" t="str">
        <x:v>Not disclosed</x:v>
      </x:c>
      <x:c r="M21" s="264" t="str">
        <x:v>Founder disclosure</x:v>
      </x:c>
      <x:c r="N21" s="264" t="str">
        <x:v>Unknown</x:v>
      </x:c>
      <x:c r="O21" s="264" t="str">
        <x:v>One active subscriber</x:v>
      </x:c>
      <x:c r="P21" s="264" t="str">
        <x:v>S01</x:v>
      </x:c>
      <x:c r="Q21" s="265" t="str">
        <x:v>Near-zero case; useful against success-story bias.</x:v>
      </x:c>
    </x:row>
    <x:row r="22">
      <x:c r="A22" s="266" t="str">
        <x:v>C18</x:v>
      </x:c>
      <x:c r="B22" s="267" t="str">
        <x:v>Snap Search</x:v>
      </x:c>
      <x:c r="C22" s="267" t="str">
        <x:v>Single app</x:v>
      </x:c>
      <x:c r="D22" s="267" t="str">
        <x:v>Search / utility</x:v>
      </x:c>
      <x:c r="E22" s="267" t="str">
        <x:v>Subscription/IAP</x:v>
      </x:c>
      <x:c r="F22" s="267" t="str">
        <x:v>Unknown</x:v>
      </x:c>
      <x:c r="G22" s="304" t="str"/>
      <x:c r="H22" s="298" t="n">
        <x:v>200</x:v>
      </x:c>
      <x:c r="I22" s="298" t="n">
        <x:v>200</x:v>
      </x:c>
      <x:c r="J22" s="304" t="str"/>
      <x:c r="K22" s="298" t="str"/>
      <x:c r="L22" s="267" t="str">
        <x:v>Not disclosed</x:v>
      </x:c>
      <x:c r="M22" s="267" t="str">
        <x:v>Founder disclosure</x:v>
      </x:c>
      <x:c r="N22" s="267" t="str">
        <x:v>Unknown</x:v>
      </x:c>
      <x:c r="O22" s="267" t="str">
        <x:v>Low current MRR</x:v>
      </x:c>
      <x:c r="P22" s="267" t="str">
        <x:v>S01</x:v>
      </x:c>
      <x:c r="Q22" s="268" t="str">
        <x:v>Below threshold and likely sensitive to maintenance time.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5" hidden="0" customWidth="1"/>
    <x:col min="3" max="3" width="45" hidden="0" customWidth="1"/>
    <x:col min="4" max="4" width="38" hidden="0" customWidth="1"/>
    <x:col min="5" max="5" width="21" hidden="0" customWidth="1"/>
    <x:col min="6" max="6" width="22" hidden="0" customWidth="1"/>
    <x:col min="7" max="7" width="22" hidden="0" customWidth="1"/>
    <x:col min="8" max="8" width="30" hidden="0" customWidth="1"/>
    <x:col min="9" max="9" width="24" hidden="0" customWidth="1"/>
    <x:col min="10" max="10" width="24" hidden="0" customWidth="1"/>
    <x:col min="11" max="11" width="14" hidden="0" customWidth="1"/>
    <x:col min="12" max="12" width="52" hidden="0" customWidth="1"/>
  </x:cols>
  <x:sheetData>
    <x:row r="1" ht="30" customHeight="1">
      <x:c r="A1" s="5" t="str">
        <x:v>Evidence-Class Audit</x:v>
      </x:c>
    </x:row>
    <x:row r="2" ht="28" customHeight="1">
      <x:c r="A2" s="12" t="str">
        <x:v>What each evidence class represents, excludes, measures, and biases.</x:v>
      </x:c>
    </x:row>
    <x:row r="4">
      <x:c r="A4" s="28" t="str">
        <x:v>evidence_class</x:v>
      </x:c>
      <x:c r="B4" s="28" t="str">
        <x:v>represented_population</x:v>
      </x:c>
      <x:c r="C4" s="28" t="str">
        <x:v>excluded_population</x:v>
      </x:c>
      <x:c r="D4" s="28" t="str">
        <x:v>success_bias</x:v>
      </x:c>
      <x:c r="E4" s="28" t="str">
        <x:v>subscription_bias</x:v>
      </x:c>
      <x:c r="F4" s="28" t="str">
        <x:v>tiny_app_exclusion</x:v>
      </x:c>
      <x:c r="G4" s="28" t="str">
        <x:v>unit</x:v>
      </x:c>
      <x:c r="H4" s="28" t="str">
        <x:v>revenue_basis</x:v>
      </x:c>
      <x:c r="I4" s="28" t="str">
        <x:v>geography</x:v>
      </x:c>
      <x:c r="J4" s="28" t="str">
        <x:v>time_basis</x:v>
      </x:c>
      <x:c r="K4" s="28" t="str">
        <x:v>quality_rank</x:v>
      </x:c>
      <x:c r="L4" s="28" t="str">
        <x:v>use_in_report</x:v>
      </x:c>
    </x:row>
    <x:row r="5">
      <x:c r="A5" s="260" t="str">
        <x:v>Official store / administrator data</x:v>
      </x:c>
      <x:c r="B5" s="261" t="str">
        <x:v>Store-wide listings, submissions, developer accounts, fee schedules</x:v>
      </x:c>
      <x:c r="C5" s="261" t="str">
        <x:v>Independence, realized app revenue, ads/external payments</x:v>
      </x:c>
      <x:c r="D5" s="261" t="str">
        <x:v>Low success bias; denominator may include dead or noncommercial listings</x:v>
      </x:c>
      <x:c r="E5" s="261" t="str">
        <x:v>No</x:v>
      </x:c>
      <x:c r="F5" s="261" t="str">
        <x:v>No</x:v>
      </x:c>
      <x:c r="G5" s="261" t="str">
        <x:v>Apps or accounts</x:v>
      </x:c>
      <x:c r="H5" s="261" t="str">
        <x:v>Usually listings/fees; not revenue</x:v>
      </x:c>
      <x:c r="I5" s="261" t="str">
        <x:v>Global or store-specific</x:v>
      </x:c>
      <x:c r="J5" s="261" t="str">
        <x:v>Annual snapshot / current rule</x:v>
      </x:c>
      <x:c r="K5" s="261" t="str">
        <x:v>A1</x:v>
      </x:c>
      <x:c r="L5" s="262" t="str">
        <x:v>Best for denominators and definitions; cannot answer income alone.</x:v>
      </x:c>
    </x:row>
    <x:row r="6">
      <x:c r="A6" s="263" t="str">
        <x:v>Regulatory evidence</x:v>
      </x:c>
      <x:c r="B6" s="264" t="str">
        <x:v>Compelled platform data and market evidence</x:v>
      </x:c>
      <x:c r="C6" s="264" t="str">
        <x:v>Often redacted; geography and billing channel narrow</x:v>
      </x:c>
      <x:c r="D6" s="264" t="str">
        <x:v>Lower disclosure bias; metric can be narrow</x:v>
      </x:c>
      <x:c r="E6" s="264" t="str">
        <x:v>No</x:v>
      </x:c>
      <x:c r="F6" s="264" t="str">
        <x:v>May exclude ad-funded and external billing apps</x:v>
      </x:c>
      <x:c r="G6" s="264" t="str">
        <x:v>Developers and apps</x:v>
      </x:c>
      <x:c r="H6" s="264" t="str">
        <x:v>Often billing or commission basis</x:v>
      </x:c>
      <x:c r="I6" s="264" t="str">
        <x:v>Usually one jurisdiction</x:v>
      </x:c>
      <x:c r="J6" s="264" t="str">
        <x:v>Specific year / investigation period</x:v>
      </x:c>
      <x:c r="K6" s="264" t="str">
        <x:v>A2</x:v>
      </x:c>
      <x:c r="L6" s="265" t="str">
        <x:v>CMA’s “no Play Billing revenue” is not “no app revenue.”</x:v>
      </x:c>
    </x:row>
    <x:row r="7">
      <x:c r="A7" s="263" t="str">
        <x:v>Subscription platform cohort</x:v>
      </x:c>
      <x:c r="B7" s="264" t="str">
        <x:v>Apps with integrated subscription infrastructure and observable transactions</x:v>
      </x:c>
      <x:c r="C7" s="264" t="str">
        <x:v>Non-subscription apps, zero-revenue apps, apps below minimum thresholds</x:v>
      </x:c>
      <x:c r="D7" s="264" t="str">
        <x:v>Overrepresents commercial and subscription success</x:v>
      </x:c>
      <x:c r="E7" s="264" t="str">
        <x:v>Yes</x:v>
      </x:c>
      <x:c r="F7" s="264" t="str">
        <x:v>Yes, by design</x:v>
      </x:c>
      <x:c r="G7" s="264" t="str">
        <x:v>Apps/projects</x:v>
      </x:c>
      <x:c r="H7" s="264" t="str">
        <x:v>Transaction revenue, usually gross receipts</x:v>
      </x:c>
      <x:c r="I7" s="264" t="str">
        <x:v>Global with regional cuts</x:v>
      </x:c>
      <x:c r="J7" s="264" t="str">
        <x:v>Cohort and annual windows</x:v>
      </x:c>
      <x:c r="K7" s="264" t="str">
        <x:v>B1</x:v>
      </x:c>
      <x:c r="L7" s="265" t="str">
        <x:v>Strong within-cohort benchmark; poor store-wide denominator.</x:v>
      </x:c>
    </x:row>
    <x:row r="8">
      <x:c r="A8" s="263" t="str">
        <x:v>Academic / representative survey</x:v>
      </x:c>
      <x:c r="B8" s="264" t="str">
        <x:v>Defined sample with disclosed methods</x:v>
      </x:c>
      <x:c r="C8" s="264" t="str">
        <x:v>Often old, category-limited, or self-selected</x:v>
      </x:c>
      <x:c r="D8" s="264" t="str">
        <x:v>Varies; publication and response bias remain</x:v>
      </x:c>
      <x:c r="E8" s="264" t="str">
        <x:v>Varies</x:v>
      </x:c>
      <x:c r="F8" s="264" t="str">
        <x:v>Varies</x:v>
      </x:c>
      <x:c r="G8" s="264" t="str">
        <x:v>Apps or developers</x:v>
      </x:c>
      <x:c r="H8" s="264" t="str">
        <x:v>Surveyed or estimated; basis varies</x:v>
      </x:c>
      <x:c r="I8" s="264" t="str">
        <x:v>Often global or US-only</x:v>
      </x:c>
      <x:c r="J8" s="264" t="str">
        <x:v>Cross-section / panel</x:v>
      </x:c>
      <x:c r="K8" s="264" t="str">
        <x:v>B2</x:v>
      </x:c>
      <x:c r="L8" s="265" t="str">
        <x:v>Useful for structure and historical checks, not current prevalence alone.</x:v>
      </x:c>
    </x:row>
    <x:row r="9">
      <x:c r="A9" s="263" t="str">
        <x:v>App-intelligence estimate</x:v>
      </x:c>
      <x:c r="B9" s="264" t="str">
        <x:v>Apps visible to vendor models, rankings, panels, or SDK detection</x:v>
      </x:c>
      <x:c r="C9" s="264" t="str">
        <x:v>Tiny apps and off-store/external revenue; estimation error</x:v>
      </x:c>
      <x:c r="D9" s="264" t="str">
        <x:v>Can miss low-activity tail; success bias depends on product</x:v>
      </x:c>
      <x:c r="E9" s="264" t="str">
        <x:v>Often</x:v>
      </x:c>
      <x:c r="F9" s="264" t="str">
        <x:v>Often</x:v>
      </x:c>
      <x:c r="G9" s="264" t="str">
        <x:v>Apps/publishers</x:v>
      </x:c>
      <x:c r="H9" s="264" t="str">
        <x:v>Estimated consumer spend; usually gross</x:v>
      </x:c>
      <x:c r="I9" s="264" t="str">
        <x:v>Market/region dependent</x:v>
      </x:c>
      <x:c r="J9" s="264" t="str">
        <x:v>Monthly or annual estimate</x:v>
      </x:c>
      <x:c r="K9" s="264" t="str">
        <x:v>C1</x:v>
      </x:c>
      <x:c r="L9" s="265" t="str">
        <x:v>Good for relative ranking; not a census of tiny apps.</x:v>
      </x:c>
    </x:row>
    <x:row r="10">
      <x:c r="A10" s="263" t="str">
        <x:v>Verified dashboard / marketplace</x:v>
      </x:c>
      <x:c r="B10" s="264" t="str">
        <x:v>Voluntary listings with linked Stripe, RevenueCat, or Superwall data</x:v>
      </x:c>
      <x:c r="C10" s="264" t="str">
        <x:v>Unsellable apps, undisclosed apps, many failures and nonparticipants</x:v>
      </x:c>
      <x:c r="D10" s="264" t="str">
        <x:v>Severe success and sale-selection bias</x:v>
      </x:c>
      <x:c r="E10" s="264" t="str">
        <x:v>Often</x:v>
      </x:c>
      <x:c r="F10" s="264" t="str">
        <x:v>Yes for many platforms</x:v>
      </x:c>
      <x:c r="G10" s="264" t="str">
        <x:v>App, startup, or founder portfolio</x:v>
      </x:c>
      <x:c r="H10" s="264" t="str">
        <x:v>Gross receipts or MRR; costs often absent</x:v>
      </x:c>
      <x:c r="I10" s="264" t="str">
        <x:v>Global but founder-community skew</x:v>
      </x:c>
      <x:c r="J10" s="264" t="str">
        <x:v>Current 30-day / lifetime</x:v>
      </x:c>
      <x:c r="K10" s="264" t="str">
        <x:v>C2</x:v>
      </x:c>
      <x:c r="L10" s="265" t="str">
        <x:v>High attribution for the listed case; unusable for prevalence without denominator.</x:v>
      </x:c>
    </x:row>
    <x:row r="11">
      <x:c r="A11" s="263" t="str">
        <x:v>Founder survey</x:v>
      </x:c>
      <x:c r="B11" s="264" t="str">
        <x:v>Respondents in developer communities</x:v>
      </x:c>
      <x:c r="C11" s="264" t="str">
        <x:v>Nonrespondents, hobbyists or firms depending recruitment</x:v>
      </x:c>
      <x:c r="D11" s="264" t="str">
        <x:v>Commercial ambition and memory bias</x:v>
      </x:c>
      <x:c r="E11" s="264" t="str">
        <x:v>No</x:v>
      </x:c>
      <x:c r="F11" s="264" t="str">
        <x:v>No</x:v>
      </x:c>
      <x:c r="G11" s="264" t="str">
        <x:v>Often developer, sometimes per app</x:v>
      </x:c>
      <x:c r="H11" s="264" t="str">
        <x:v>Self-reported; basis mixed</x:v>
      </x:c>
      <x:c r="I11" s="264" t="str">
        <x:v>Global, uneven</x:v>
      </x:c>
      <x:c r="J11" s="264" t="str">
        <x:v>Survey period</x:v>
      </x:c>
      <x:c r="K11" s="264" t="str">
        <x:v>C2/D</x:v>
      </x:c>
      <x:c r="L11" s="265" t="str">
        <x:v>Can estimate developer-level patterns only when recruitment and unit are clear.</x:v>
      </x:c>
    </x:row>
    <x:row r="12">
      <x:c r="A12" s="266" t="str">
        <x:v>Founder disclosure / postmortem</x:v>
      </x:c>
      <x:c r="B12" s="267" t="str">
        <x:v>A named app or portfolio with narrative context</x:v>
      </x:c>
      <x:c r="C12" s="267" t="str">
        <x:v>Non-disclosers and disappeared apps</x:v>
      </x:c>
      <x:c r="D12" s="267" t="str">
        <x:v>Strong success or grievance bias</x:v>
      </x:c>
      <x:c r="E12" s="267" t="str">
        <x:v>No</x:v>
      </x:c>
      <x:c r="F12" s="267" t="str">
        <x:v>No</x:v>
      </x:c>
      <x:c r="G12" s="267" t="str">
        <x:v>App or developer</x:v>
      </x:c>
      <x:c r="H12" s="267" t="str">
        <x:v>Often gross; sometimes proceeds/profit</x:v>
      </x:c>
      <x:c r="I12" s="267" t="str">
        <x:v>Case-specific</x:v>
      </x:c>
      <x:c r="J12" s="267" t="str">
        <x:v>Point-in-time or lifetime</x:v>
      </x:c>
      <x:c r="K12" s="267" t="str">
        <x:v>D</x:v>
      </x:c>
      <x:c r="L12" s="268" t="str">
        <x:v>Best for mechanisms, age, workload, and failure modes; not incidence.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0" hidden="0" customWidth="1"/>
    <x:col min="3" max="3" width="28" hidden="0" customWidth="1"/>
    <x:col min="4" max="4" width="16" hidden="0" customWidth="1"/>
    <x:col min="5" max="5" width="29" hidden="0" customWidth="1"/>
    <x:col min="6" max="6" width="14" hidden="0" customWidth="1"/>
    <x:col min="7" max="7" width="67" hidden="0" customWidth="1"/>
    <x:col min="8" max="8" width="90" hidden="0" customWidth="1"/>
  </x:cols>
  <x:sheetData>
    <x:row r="1" ht="30" customHeight="1">
      <x:c r="A1" s="5" t="str">
        <x:v>Source Registry</x:v>
      </x:c>
    </x:row>
    <x:row r="2" ht="28" customHeight="1">
      <x:c r="A2" s="12" t="str">
        <x:v>Direct source table with publisher, date, evidence class, quality rank, key use, and URL.</x:v>
      </x:c>
    </x:row>
    <x:row r="4">
      <x:c r="A4" s="28" t="str">
        <x:v>source_id</x:v>
      </x:c>
      <x:c r="B4" s="28" t="str">
        <x:v>title</x:v>
      </x:c>
      <x:c r="C4" s="28" t="str">
        <x:v>publisher</x:v>
      </x:c>
      <x:c r="D4" s="28" t="str">
        <x:v>date</x:v>
      </x:c>
      <x:c r="E4" s="28" t="str">
        <x:v>source_class</x:v>
      </x:c>
      <x:c r="F4" s="28" t="str">
        <x:v>quality_rank</x:v>
      </x:c>
      <x:c r="G4" s="28" t="str">
        <x:v>key_use</x:v>
      </x:c>
      <x:c r="H4" s="28" t="str">
        <x:v>url</x:v>
      </x:c>
    </x:row>
    <x:row r="5">
      <x:c r="A5" s="106" t="str">
        <x:v>S01</x:v>
      </x:c>
      <x:c r="B5" s="107" t="str">
        <x:v>Research Dossier on Independent Mobile App Economics</x:v>
      </x:c>
      <x:c r="C5" s="107" t="str">
        <x:v>User-supplied dossier</x:v>
      </x:c>
      <x:c r="D5" s="107" t="str">
        <x:v>2026-07-14</x:v>
      </x:c>
      <x:c r="E5" s="107" t="str">
        <x:v>Internal research dossier</x:v>
      </x:c>
      <x:c r="F5" s="107" t="str">
        <x:v>Mixed</x:v>
      </x:c>
      <x:c r="G5" s="107" t="str">
        <x:v>Starting map of evidence, definitions, and cases. No standalone app-level dataset was available.</x:v>
      </x:c>
      <x:c r="H5" s="308" t="str">
        <x:v>File Library document</x:v>
      </x:c>
    </x:row>
    <x:row r="6">
      <x:c r="A6" s="109" t="str">
        <x:v>S02</x:v>
      </x:c>
      <x:c r="B6" s="110" t="str">
        <x:v>2025 App Store Transparency Report</x:v>
      </x:c>
      <x:c r="C6" s="110" t="str">
        <x:v>Apple</x:v>
      </x:c>
      <x:c r="D6" s="110" t="str">
        <x:v>2025</x:v>
      </x:c>
      <x:c r="E6" s="110" t="str">
        <x:v>Official store data</x:v>
      </x:c>
      <x:c r="F6" s="110" t="str">
        <x:v>A1</x:v>
      </x:c>
      <x:c r="G6" s="110" t="str">
        <x:v>2,172,472 apps; 166,899 removals; 1,365,649 apps appeared in top-10 results for at least 1,000 searches during the year.</x:v>
      </x:c>
      <x:c r="H6" s="309" t="str">
        <x:v>https://www.apple.com/legal/app-store/transparency/2025/</x:v>
      </x:c>
    </x:row>
    <x:row r="7">
      <x:c r="A7" s="109" t="str">
        <x:v>S03</x:v>
      </x:c>
      <x:c r="B7" s="110" t="str">
        <x:v>Number of Android apps on Google Play</x:v>
      </x:c>
      <x:c r="C7" s="110" t="str">
        <x:v>AppBrain</x:v>
      </x:c>
      <x:c r="D7" s="110" t="str">
        <x:v>2026-07-14</x:v>
      </x:c>
      <x:c r="E7" s="110" t="str">
        <x:v>App directory / intelligence</x:v>
      </x:c>
      <x:c r="F7" s="110" t="str">
        <x:v>C1</x:v>
      </x:c>
      <x:c r="G7" s="110" t="str">
        <x:v>1,887,487 available apps; 66.6k launched and 27.7k removed in June 2026.</x:v>
      </x:c>
      <x:c r="H7" s="309" t="str">
        <x:v>https://www.appbrain.com/stats/number-of-android-apps</x:v>
      </x:c>
    </x:row>
    <x:row r="8">
      <x:c r="A8" s="109" t="str">
        <x:v>S04</x:v>
      </x:c>
      <x:c r="B8" s="110" t="str">
        <x:v>Android and Google Play statistics</x:v>
      </x:c>
      <x:c r="C8" s="110" t="str">
        <x:v>AppBrain</x:v>
      </x:c>
      <x:c r="D8" s="110" t="str">
        <x:v>2026-07-14</x:v>
      </x:c>
      <x:c r="E8" s="110" t="str">
        <x:v>App directory / intelligence</x:v>
      </x:c>
      <x:c r="F8" s="110" t="str">
        <x:v>C1</x:v>
      </x:c>
      <x:c r="G8" s="110" t="str">
        <x:v>321,598 apps had any rating; 83% had fewer than three ratings; 3.5% were paid.</x:v>
      </x:c>
      <x:c r="H8" s="309" t="str">
        <x:v>https://www.appbrain.com/stats</x:v>
      </x:c>
    </x:row>
    <x:row r="9">
      <x:c r="A9" s="109" t="str">
        <x:v>S05</x:v>
      </x:c>
      <x:c r="B9" s="110" t="str">
        <x:v>Android apps with in-app billing</x:v>
      </x:c>
      <x:c r="C9" s="110" t="str">
        <x:v>AppBrain</x:v>
      </x:c>
      <x:c r="D9" s="110" t="str">
        <x:v>2026-07-14</x:v>
      </x:c>
      <x:c r="E9" s="110" t="str">
        <x:v>App directory / intelligence</x:v>
      </x:c>
      <x:c r="F9" s="110" t="str">
        <x:v>C1</x:v>
      </x:c>
      <x:c r="G9" s="110" t="str">
        <x:v>337,943 apps detected with in-app billing; library detection can miss apps.</x:v>
      </x:c>
      <x:c r="H9" s="309" t="str">
        <x:v>https://www.appbrain.com/stats/in-app-billing-android-applications</x:v>
      </x:c>
    </x:row>
    <x:row r="10">
      <x:c r="A10" s="109" t="str">
        <x:v>S06</x:v>
      </x:c>
      <x:c r="B10" s="110" t="str">
        <x:v>Strategic Market Status Investigation into Google mobile platform - final decision</x:v>
      </x:c>
      <x:c r="C10" s="110" t="str">
        <x:v>UK Competition and Markets Authority</x:v>
      </x:c>
      <x:c r="D10" s="110" t="str">
        <x:v>2025-10-22</x:v>
      </x:c>
      <x:c r="E10" s="110" t="str">
        <x:v>Regulatory decision</x:v>
      </x:c>
      <x:c r="F10" s="110" t="str">
        <x:v>A2</x:v>
      </x:c>
      <x:c r="G10" s="110" t="str">
        <x:v>More than 90% of Play-distributing developers generated no revenue through Google Play Billing; ad-funded reach is material.</x:v>
      </x:c>
      <x:c r="H10" s="309" t="str">
        <x:v>https://assets.publishing.service.gov.uk/media/68f8bf4780cf98c6e8ed8f83/Final_decision_report.pdf</x:v>
      </x:c>
    </x:row>
    <x:row r="11">
      <x:c r="A11" s="109" t="str">
        <x:v>S07</x:v>
      </x:c>
      <x:c r="B11" s="110" t="str">
        <x:v>State of Subscription Apps 2026</x:v>
      </x:c>
      <x:c r="C11" s="110" t="str">
        <x:v>RevenueCat</x:v>
      </x:c>
      <x:c r="D11" s="110" t="str">
        <x:v>2026</x:v>
      </x:c>
      <x:c r="E11" s="110" t="str">
        <x:v>Subscription transaction cohort</x:v>
      </x:c>
      <x:c r="F11" s="110" t="str">
        <x:v>B1</x:v>
      </x:c>
      <x:c r="G11" s="110" t="str">
        <x:v>115k+ apps, $16b+, 1b+ transactions; only active subscription-revenue apps meeting thresholds. 17.3% of new apps ever hit $1k monthly revenue in first two years.</x:v>
      </x:c>
      <x:c r="H11" s="309" t="str">
        <x:v>https://www.revenuecat.com/state-of-subscription-apps/</x:v>
      </x:c>
    </x:row>
    <x:row r="12">
      <x:c r="A12" s="109" t="str">
        <x:v>S08</x:v>
      </x:c>
      <x:c r="B12" s="110" t="str">
        <x:v>State of In-App Subscriptions 2026</x:v>
      </x:c>
      <x:c r="C12" s="110" t="str">
        <x:v>Adapty</x:v>
      </x:c>
      <x:c r="D12" s="110" t="str">
        <x:v>2026</x:v>
      </x:c>
      <x:c r="E12" s="110" t="str">
        <x:v>Subscription platform report</x:v>
      </x:c>
      <x:c r="F12" s="110" t="str">
        <x:v>B1/C1</x:v>
      </x:c>
      <x:c r="G12" s="110" t="str">
        <x:v>16k+ apps and $3b; median $492/month; top 10% capture 94.5%; lifetime bands for new apps.</x:v>
      </x:c>
      <x:c r="H12" s="309" t="str">
        <x:v>https://adapty.io/state-of-in-app-subscriptions/</x:v>
      </x:c>
    </x:row>
    <x:row r="13">
      <x:c r="A13" s="109" t="str">
        <x:v>S09</x:v>
      </x:c>
      <x:c r="B13" s="110" t="str">
        <x:v>Subscription revenue concentration analysis</x:v>
      </x:c>
      <x:c r="C13" s="110" t="str">
        <x:v>Adapty</x:v>
      </x:c>
      <x:c r="D13" s="110" t="str">
        <x:v>2026-03-19</x:v>
      </x:c>
      <x:c r="E13" s="110" t="str">
        <x:v>Vendor analysis</x:v>
      </x:c>
      <x:c r="F13" s="110" t="str">
        <x:v>C1</x:v>
      </x:c>
      <x:c r="G13" s="110" t="str">
        <x:v>Top 10% capture 94.5%; new-app lifetime revenue bands. Marketing interpretation and report-page inconsistency require caution.</x:v>
      </x:c>
      <x:c r="H13" s="309" t="str">
        <x:v>https://adapty.io/blog/app-subscription-revenue-concentration/</x:v>
      </x:c>
    </x:row>
    <x:row r="14">
      <x:c r="A14" s="109" t="str">
        <x:v>S10</x:v>
      </x:c>
      <x:c r="B14" s="110" t="str">
        <x:v>Small Business Developers and App Creators on the App Store in 2022</x:v>
      </x:c>
      <x:c r="C14" s="110" t="str">
        <x:v>Analysis Group / Apple</x:v>
      </x:c>
      <x:c r="D14" s="110" t="str">
        <x:v>2023-05</x:v>
      </x:c>
      <x:c r="E14" s="110" t="str">
        <x:v>Sponsored economic study</x:v>
      </x:c>
      <x:c r="F14" s="110" t="str">
        <x:v>B2</x:v>
      </x:c>
      <x:c r="G14" s="110" t="str">
        <x:v>More than 90% small under &lt;1m downloads and &lt;$1m earnings; excludes developers never above 1,000 annual downloads.</x:v>
      </x:c>
      <x:c r="H14" s="309" t="str">
        <x:v>https://www.apple.com/newsroom/pdfs/small-business-developers-and-app-creators-on-the-app-store-in-2022.pdf</x:v>
      </x:c>
    </x:row>
    <x:row r="15">
      <x:c r="A15" s="109" t="str">
        <x:v>S11</x:v>
      </x:c>
      <x:c r="B15" s="110" t="str">
        <x:v>App Store Small Business Program</x:v>
      </x:c>
      <x:c r="C15" s="110" t="str">
        <x:v>Apple Developer</x:v>
      </x:c>
      <x:c r="D15" s="110" t="str">
        <x:v>Current 2026</x:v>
      </x:c>
      <x:c r="E15" s="110" t="str">
        <x:v>Official fee rule</x:v>
      </x:c>
      <x:c r="F15" s="110" t="str">
        <x:v>A1</x:v>
      </x:c>
      <x:c r="G15" s="110" t="str">
        <x:v>15% reduced commission on paid apps and IAP for qualifying developers.</x:v>
      </x:c>
      <x:c r="H15" s="309" t="str">
        <x:v>https://developer.apple.com/app-store/small-business-program/</x:v>
      </x:c>
    </x:row>
    <x:row r="16">
      <x:c r="A16" s="109" t="str">
        <x:v>S12</x:v>
      </x:c>
      <x:c r="B16" s="110" t="str">
        <x:v>Google Play service fees</x:v>
      </x:c>
      <x:c r="C16" s="110" t="str">
        <x:v>Google Play Console Help</x:v>
      </x:c>
      <x:c r="D16" s="110" t="str">
        <x:v>Current 2026</x:v>
      </x:c>
      <x:c r="E16" s="110" t="str">
        <x:v>Official fee rule</x:v>
      </x:c>
      <x:c r="F16" s="110" t="str">
        <x:v>A1</x:v>
      </x:c>
      <x:c r="G16" s="110" t="str">
        <x:v>Current regional fee schedules; common first-$1m/subscription effective rate around 15%, with material regional/program variation.</x:v>
      </x:c>
      <x:c r="H16" s="309" t="str">
        <x:v>https://support.google.com/googleplay/android-developer/answer/112622</x:v>
      </x:c>
    </x:row>
    <x:row r="17">
      <x:c r="A17" s="109" t="str">
        <x:v>S13</x:v>
      </x:c>
      <x:c r="B17" s="110" t="str">
        <x:v>The App Economy Consolidates Before the Next Gold Rush</x:v>
      </x:c>
      <x:c r="C17" s="110" t="str">
        <x:v>Developer Nation / VisionMobile</x:v>
      </x:c>
      <x:c r="D17" s="110" t="str">
        <x:v>2014</x:v>
      </x:c>
      <x:c r="E17" s="110" t="str">
        <x:v>Founder survey analysis</x:v>
      </x:c>
      <x:c r="F17" s="110" t="str">
        <x:v>B2/C2</x:v>
      </x:c>
      <x:c r="G17" s="110" t="str">
        <x:v>24% of commercially interested respondents earned zero; 23% under $100 per app/month; stale and self-selected.</x:v>
      </x:c>
      <x:c r="H17" s="309" t="str">
        <x:v>https://www.developernation.net/blog/the-app-economy-consolidates-before-the-next-gold-rush/</x:v>
      </x:c>
    </x:row>
    <x:row r="18">
      <x:c r="A18" s="109" t="str">
        <x:v>S14</x:v>
      </x:c>
      <x:c r="B18" s="110" t="str">
        <x:v>Google Play Is Not a Long Tail Market</x:v>
      </x:c>
      <x:c r="C18" s="110" t="str">
        <x:v>Zhong and Michahelles</x:v>
      </x:c>
      <x:c r="D18" s="110" t="str">
        <x:v>2013</x:v>
      </x:c>
      <x:c r="E18" s="110" t="str">
        <x:v>Academic transaction study</x:v>
      </x:c>
      <x:c r="F18" s="110" t="str">
        <x:v>B2</x:v>
      </x:c>
      <x:c r="G18" s="110" t="str">
        <x:v>Historical evidence that app adoption/revenue behaves as a superstar market.</x:v>
      </x:c>
      <x:c r="H18" s="309" t="str">
        <x:v>https://cocoa.ethz.ch/downloads/2013/06/None_p499-zhong.pdf</x:v>
      </x:c>
    </x:row>
    <x:row r="19">
      <x:c r="A19" s="109" t="str">
        <x:v>S15</x:v>
      </x:c>
      <x:c r="B19" s="110" t="str">
        <x:v>Impact of Revenue Models on Mobile App Market Performance</x:v>
      </x:c>
      <x:c r="C19" s="110" t="str">
        <x:v>Academic study</x:v>
      </x:c>
      <x:c r="D19" s="110" t="str">
        <x:v>2022</x:v>
      </x:c>
      <x:c r="E19" s="110" t="str">
        <x:v>Academic app-level study</x:v>
      </x:c>
      <x:c r="F19" s="110" t="str">
        <x:v>B2</x:v>
      </x:c>
      <x:c r="G19" s="110" t="str">
        <x:v>About two years of 330 newly launched US iOS games and productivity apps; monetization model effects differ by category.</x:v>
      </x:c>
      <x:c r="H19" s="309" t="str">
        <x:v>https://doi.org/10.1016/j.ijresmar.2021.11.004</x:v>
      </x:c>
    </x:row>
    <x:row r="20">
      <x:c r="A20" s="109" t="str">
        <x:v>S16</x:v>
      </x:c>
      <x:c r="B20" s="110" t="str">
        <x:v>lovelee revenue profile</x:v>
      </x:c>
      <x:c r="C20" s="110" t="str">
        <x:v>TrustMRR</x:v>
      </x:c>
      <x:c r="D20" s="110" t="str">
        <x:v>2026-07-14</x:v>
      </x:c>
      <x:c r="E20" s="110" t="str">
        <x:v>Verified dashboard / marketplace</x:v>
      </x:c>
      <x:c r="F20" s="110" t="str">
        <x:v>C2</x:v>
      </x:c>
      <x:c r="G20" s="110" t="str">
        <x:v>$2,413 MRR, 280 active subscriptions, $48,002 all-time; Superwall-linked; founder had 148.8k followers.</x:v>
      </x:c>
      <x:c r="H20" s="309" t="str">
        <x:v>https://trustmrr.com/startup/lovelee</x:v>
      </x:c>
    </x:row>
    <x:row r="21">
      <x:c r="A21" s="109" t="str">
        <x:v>S17</x:v>
      </x:c>
      <x:c r="B21" s="110" t="str">
        <x:v>TrackAI revenue profile</x:v>
      </x:c>
      <x:c r="C21" s="110" t="str">
        <x:v>TrustMRR</x:v>
      </x:c>
      <x:c r="D21" s="110" t="str">
        <x:v>2026-07-14</x:v>
      </x:c>
      <x:c r="E21" s="110" t="str">
        <x:v>Verified dashboard / marketplace</x:v>
      </x:c>
      <x:c r="F21" s="110" t="str">
        <x:v>C2</x:v>
      </x:c>
      <x:c r="G21" s="110" t="str">
        <x:v>$24,365 last 30 days; $20,342 MRR; 4,865 active subscriptions; 327k+ installs; for-sale and founder claims.</x:v>
      </x:c>
      <x:c r="H21" s="309" t="str">
        <x:v>https://trustmrr.com/startup/trackai</x:v>
      </x:c>
    </x:row>
    <x:row r="22">
      <x:c r="A22" s="109" t="str">
        <x:v>S18</x:v>
      </x:c>
      <x:c r="B22" s="110" t="str">
        <x:v>3AK Track &amp; Field revenue profile</x:v>
      </x:c>
      <x:c r="C22" s="110" t="str">
        <x:v>TrustMRR</x:v>
      </x:c>
      <x:c r="D22" s="110" t="str">
        <x:v>2026-07-14</x:v>
      </x:c>
      <x:c r="E22" s="110" t="str">
        <x:v>Verified dashboard / marketplace</x:v>
      </x:c>
      <x:c r="F22" s="110" t="str">
        <x:v>C2</x:v>
      </x:c>
      <x:c r="G22" s="110" t="str">
        <x:v>$14,448 last 30 days; $10,082 MRR; 2,885 active subscriptions; founder claims mostly organic and ~80% margins.</x:v>
      </x:c>
      <x:c r="H22" s="309" t="str">
        <x:v>https://trustmrr.com/startup/3ak-track-field</x:v>
      </x:c>
    </x:row>
    <x:row r="23">
      <x:c r="A23" s="109" t="str">
        <x:v>S19</x:v>
      </x:c>
      <x:c r="B23" s="110" t="str">
        <x:v>GurjarApp revenue profile</x:v>
      </x:c>
      <x:c r="C23" s="110" t="str">
        <x:v>TrustMRR</x:v>
      </x:c>
      <x:c r="D23" s="110" t="str">
        <x:v>2026-07-14</x:v>
      </x:c>
      <x:c r="E23" s="110" t="str">
        <x:v>Verified dashboard / marketplace</x:v>
      </x:c>
      <x:c r="F23" s="110" t="str">
        <x:v>C2</x:v>
      </x:c>
      <x:c r="G23" s="110" t="str">
        <x:v>$2,071 all-time, no active subscriptions, 212k users, $100-$150/month stated costs.</x:v>
      </x:c>
      <x:c r="H23" s="309" t="str">
        <x:v>https://trustmrr.com/startup/gurjarapp-social-media-platform</x:v>
      </x:c>
    </x:row>
    <x:row r="24">
      <x:c r="A24" s="109" t="str">
        <x:v>S20</x:v>
      </x:c>
      <x:c r="B24" s="110" t="str">
        <x:v>Mehroz Sheikh founder portfolio</x:v>
      </x:c>
      <x:c r="C24" s="110" t="str">
        <x:v>TrustMRR</x:v>
      </x:c>
      <x:c r="D24" s="110" t="str">
        <x:v>2026-07-14</x:v>
      </x:c>
      <x:c r="E24" s="110" t="str">
        <x:v>Verified dashboard / portfolio</x:v>
      </x:c>
      <x:c r="F24" s="110" t="str">
        <x:v>C2</x:v>
      </x:c>
      <x:c r="G24" s="110" t="str">
        <x:v>16 startups; $3,878 total revenue, $855 last 30 days, $555 aggregate MRR; many apps at zero or low revenue.</x:v>
      </x:c>
      <x:c r="H24" s="309" t="str">
        <x:v>https://trustmrr.com/founder/mehroz__sheikh</x:v>
      </x:c>
    </x:row>
    <x:row r="25">
      <x:c r="A25" s="112" t="str">
        <x:v>S21</x:v>
      </x:c>
      <x:c r="B25" s="113" t="str">
        <x:v>Bibly revenue profile</x:v>
      </x:c>
      <x:c r="C25" s="113" t="str">
        <x:v>TrustMRR</x:v>
      </x:c>
      <x:c r="D25" s="113" t="str">
        <x:v>2026-07-14</x:v>
      </x:c>
      <x:c r="E25" s="113" t="str">
        <x:v>Verified dashboard / marketplace</x:v>
      </x:c>
      <x:c r="F25" s="113" t="str">
        <x:v>C2</x:v>
      </x:c>
      <x:c r="G25" s="113" t="str">
        <x:v>Case near $5k MRR with 1,053 active subscriptions; selection bias remains.</x:v>
      </x:c>
      <x:c r="H25" s="310" t="str">
        <x:v>https://trustmrr.com/startup/bibly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1" hidden="0" customWidth="1"/>
    <x:col min="3" max="3" width="82" hidden="0" customWidth="1"/>
    <x:col min="4" max="4" width="23" hidden="0" customWidth="1"/>
    <x:col min="5" max="5" width="22" hidden="0" customWidth="1"/>
    <x:col min="6" max="6" width="68" hidden="0" customWidth="1"/>
    <x:col min="7" max="7" width="22" hidden="0" customWidth="1"/>
    <x:col min="8" max="8" width="68" hidden="0" customWidth="1"/>
  </x:cols>
  <x:sheetData>
    <x:row r="1" ht="30" customHeight="1">
      <x:c r="A1" s="5" t="str">
        <x:v>Claim-by-Claim Evidence Ledger</x:v>
      </x:c>
    </x:row>
    <x:row r="2" ht="28" customHeight="1">
      <x:c r="A2" s="12" t="str">
        <x:v>Load-bearing claims with type, value, source/model trace, calculation, confidence, and caveat.</x:v>
      </x:c>
    </x:row>
    <x:row r="4">
      <x:c r="A4" s="28" t="str">
        <x:v>claim_id</x:v>
      </x:c>
      <x:c r="B4" s="28" t="str">
        <x:v>claim_type</x:v>
      </x:c>
      <x:c r="C4" s="28" t="str">
        <x:v>claim</x:v>
      </x:c>
      <x:c r="D4" s="28" t="str">
        <x:v>value</x:v>
      </x:c>
      <x:c r="E4" s="28" t="str">
        <x:v>source_or_model_ids</x:v>
      </x:c>
      <x:c r="F4" s="28" t="str">
        <x:v>calculation_or_trace</x:v>
      </x:c>
      <x:c r="G4" s="28" t="str">
        <x:v>confidence</x:v>
      </x:c>
      <x:c r="H4" s="28" t="str">
        <x:v>caveat</x:v>
      </x:c>
    </x:row>
    <x:row r="5">
      <x:c r="A5" s="260" t="str">
        <x:v>CL01</x:v>
      </x:c>
      <x:c r="B5" s="261" t="str">
        <x:v>Modeled estimate</x:v>
      </x:c>
      <x:c r="C5" s="261" t="str">
        <x:v>About 15.4% of serious independent app developers generate at least $1,000 of current gross monthly revenue across their owned portfolio.</x:v>
      </x:c>
      <x:c r="D5" s="261" t="str">
        <x:v>15.41%</x:v>
      </x:c>
      <x:c r="E5" s="261" t="str">
        <x:v>M01; S07</x:v>
      </x:c>
      <x:c r="F5" s="261" t="str">
        <x:v>Monte Carlo: selected subscription ever-hit rate x persistence x transfer factor, then portfolio aggregation.</x:v>
      </x:c>
      <x:c r="G5" s="261" t="str">
        <x:v>Medium</x:v>
      </x:c>
      <x:c r="H5" s="262" t="str">
        <x:v>8.36%-25.02% plausible interval; not a census.</x:v>
      </x:c>
    </x:row>
    <x:row r="6">
      <x:c r="A6" s="263" t="str">
        <x:v>CL02</x:v>
      </x:c>
      <x:c r="B6" s="264" t="str">
        <x:v>Modeled estimate</x:v>
      </x:c>
      <x:c r="C6" s="264" t="str">
        <x:v>About 10.2% of serious independent apps generate at least $1,000 of current gross monthly revenue.</x:v>
      </x:c>
      <x:c r="D6" s="264" t="str">
        <x:v>10.23%</x:v>
      </x:c>
      <x:c r="E6" s="264" t="str">
        <x:v>M01; S07</x:v>
      </x:c>
      <x:c r="F6" s="264" t="str">
        <x:v>Same model before portfolio aggregation.</x:v>
      </x:c>
      <x:c r="G6" s="264" t="str">
        <x:v>Medium</x:v>
      </x:c>
      <x:c r="H6" s="265" t="str">
        <x:v>5.26%-17.44% plausible interval.</x:v>
      </x:c>
    </x:row>
    <x:row r="7">
      <x:c r="A7" s="263" t="str">
        <x:v>CL03</x:v>
      </x:c>
      <x:c r="B7" s="264" t="str">
        <x:v>Modeled estimate</x:v>
      </x:c>
      <x:c r="C7" s="264" t="str">
        <x:v>Across all listed apps, roughly 1.0% clear $1,000 in a current month.</x:v>
      </x:c>
      <x:c r="D7" s="264" t="str">
        <x:v>0.98%</x:v>
      </x:c>
      <x:c r="E7" s="264" t="str">
        <x:v>M01; S02-S05; S07</x:v>
      </x:c>
      <x:c r="F7" s="264" t="str">
        <x:v>Mixture of inactive, active-light, monetized-light, serious, and mature app states.</x:v>
      </x:c>
      <x:c r="G7" s="264" t="str">
        <x:v>Low-Medium</x:v>
      </x:c>
      <x:c r="H7" s="265" t="str">
        <x:v>0.31%-2.74%; denominator composition is uncertain.</x:v>
      </x:c>
    </x:row>
    <x:row r="8">
      <x:c r="A8" s="263" t="str">
        <x:v>CL04</x:v>
      </x:c>
      <x:c r="B8" s="264" t="str">
        <x:v>Modeled estimate</x:v>
      </x:c>
      <x:c r="C8" s="264" t="str">
        <x:v>Sustaining $1,000 for three consecutive months is less common than touching it once.</x:v>
      </x:c>
      <x:c r="D8" s="264" t="str">
        <x:v>Developer 12.00%; app 7.28%</x:v>
      </x:c>
      <x:c r="E8" s="264" t="str">
        <x:v>M01</x:v>
      </x:c>
      <x:c r="F8" s="264" t="str">
        <x:v>Current-month draws multiplied by persistence factors.</x:v>
      </x:c>
      <x:c r="G8" s="264" t="str">
        <x:v>Medium-Low</x:v>
      </x:c>
      <x:c r="H8" s="265" t="str">
        <x:v>Three-month persistence is assumed, not directly observed store-wide.</x:v>
      </x:c>
    </x:row>
    <x:row r="9">
      <x:c r="A9" s="263" t="str">
        <x:v>CL05</x:v>
      </x:c>
      <x:c r="B9" s="264" t="str">
        <x:v>Observed fact</x:v>
      </x:c>
      <x:c r="C9" s="264" t="str">
        <x:v>RevenueCat reports that 17.3% of newly launched apps in its selected cohort hit $1,000 monthly revenue within two years.</x:v>
      </x:c>
      <x:c r="D9" s="264" t="str">
        <x:v>17.3%</x:v>
      </x:c>
      <x:c r="E9" s="264" t="str">
        <x:v>S07</x:v>
      </x:c>
      <x:c r="F9" s="264" t="str">
        <x:v>Direct report statistic.</x:v>
      </x:c>
      <x:c r="G9" s="264" t="str">
        <x:v>High within cohort</x:v>
      </x:c>
      <x:c r="H9" s="265" t="str">
        <x:v>It is ever-hit, subscription-only, RevenueCat-integrated, active, and minimum-threshold selected.</x:v>
      </x:c>
    </x:row>
    <x:row r="10">
      <x:c r="A10" s="263" t="str">
        <x:v>CL06</x:v>
      </x:c>
      <x:c r="B10" s="264" t="str">
        <x:v>Observed fact</x:v>
      </x:c>
      <x:c r="C10" s="264" t="str">
        <x:v>Only 4.6% of that RevenueCat launch cohort hit $10,000 monthly revenue within two years.</x:v>
      </x:c>
      <x:c r="D10" s="264" t="str">
        <x:v>4.6%</x:v>
      </x:c>
      <x:c r="E10" s="264" t="str">
        <x:v>S07</x:v>
      </x:c>
      <x:c r="F10" s="264" t="str">
        <x:v>Direct report statistic.</x:v>
      </x:c>
      <x:c r="G10" s="264" t="str">
        <x:v>High within cohort</x:v>
      </x:c>
      <x:c r="H10" s="265" t="str">
        <x:v>Not a store-wide prevalence estimate.</x:v>
      </x:c>
    </x:row>
    <x:row r="11">
      <x:c r="A11" s="263" t="str">
        <x:v>CL07</x:v>
      </x:c>
      <x:c r="B11" s="264" t="str">
        <x:v>Observed fact</x:v>
      </x:c>
      <x:c r="C11" s="264" t="str">
        <x:v>The RevenueCat year-one monthly-revenue median is about $72, versus $2,574 at the 90th percentile.</x:v>
      </x:c>
      <x:c r="D11" s="264" t="str">
        <x:v>$72; $2,574</x:v>
      </x:c>
      <x:c r="E11" s="264" t="str">
        <x:v>S07</x:v>
      </x:c>
      <x:c r="F11" s="264" t="str">
        <x:v>Direct report statistic.</x:v>
      </x:c>
      <x:c r="G11" s="264" t="str">
        <x:v>High within cohort</x:v>
      </x:c>
      <x:c r="H11" s="265" t="str">
        <x:v>Selected subscription apps; median versus right tail.</x:v>
      </x:c>
    </x:row>
    <x:row r="12">
      <x:c r="A12" s="263" t="str">
        <x:v>CL08</x:v>
      </x:c>
      <x:c r="B12" s="264" t="str">
        <x:v>Observed fact</x:v>
      </x:c>
      <x:c r="C12" s="264" t="str">
        <x:v>Adapty reports the top 10% of observed subscription apps capture 94.5% of subscription revenue.</x:v>
      </x:c>
      <x:c r="D12" s="264" t="str">
        <x:v>94.5%</x:v>
      </x:c>
      <x:c r="E12" s="264" t="str">
        <x:v>S08-S09</x:v>
      </x:c>
      <x:c r="F12" s="264" t="str">
        <x:v>Direct vendor report statistic.</x:v>
      </x:c>
      <x:c r="G12" s="264" t="str">
        <x:v>Medium</x:v>
      </x:c>
      <x:c r="H12" s="265" t="str">
        <x:v>Vendor cohort and marketing framing; denominator/exclusions matter.</x:v>
      </x:c>
    </x:row>
    <x:row r="13">
      <x:c r="A13" s="263" t="str">
        <x:v>CL09</x:v>
      </x:c>
      <x:c r="B13" s="264" t="str">
        <x:v>Derived calculation</x:v>
      </x:c>
      <x:c r="C13" s="264" t="str">
        <x:v>Adapty’s concentration statistic implies the average top-decile app produces about 155 times the revenue of the average bottom-90% app.</x:v>
      </x:c>
      <x:c r="D13" s="264" t="str">
        <x:v>154.6x</x:v>
      </x:c>
      <x:c r="E13" s="264" t="str">
        <x:v>S08-S09</x:v>
      </x:c>
      <x:c r="F13" s="264" t="str">
        <x:v>(94.5/10)/(5.5/90).</x:v>
      </x:c>
      <x:c r="G13" s="264" t="str">
        <x:v>Medium</x:v>
      </x:c>
      <x:c r="H13" s="265" t="str">
        <x:v>Ratio of group averages, not median app performance.</x:v>
      </x:c>
    </x:row>
    <x:row r="14">
      <x:c r="A14" s="263" t="str">
        <x:v>CL10</x:v>
      </x:c>
      <x:c r="B14" s="264" t="str">
        <x:v>Observed fact</x:v>
      </x:c>
      <x:c r="C14" s="264" t="str">
        <x:v>More than 90% of Play-distributing developers generated no revenue through Google Play Billing in CMA evidence.</x:v>
      </x:c>
      <x:c r="D14" s="264" t="str">
        <x:v>&gt;90%</x:v>
      </x:c>
      <x:c r="E14" s="264" t="str">
        <x:v>S06</x:v>
      </x:c>
      <x:c r="F14" s="264" t="str">
        <x:v>Regulatory evidence.</x:v>
      </x:c>
      <x:c r="G14" s="264" t="str">
        <x:v>High for metric</x:v>
      </x:c>
      <x:c r="H14" s="265" t="str">
        <x:v>Does not mean no ad, external-payment, physical-goods, or cross-platform revenue.</x:v>
      </x:c>
    </x:row>
    <x:row r="15">
      <x:c r="A15" s="263" t="str">
        <x:v>CL11</x:v>
      </x:c>
      <x:c r="B15" s="264" t="str">
        <x:v>Observed fact</x:v>
      </x:c>
      <x:c r="C15" s="264" t="str">
        <x:v>Apple listed 2,172,472 apps in 2025, but 1,365,649 appeared in top-10 results for at least 1,000 searches during the year.</x:v>
      </x:c>
      <x:c r="D15" s="264" t="str">
        <x:v>2,172,472; 1,365,649</x:v>
      </x:c>
      <x:c r="E15" s="264" t="str">
        <x:v>S02</x:v>
      </x:c>
      <x:c r="F15" s="264" t="str">
        <x:v>Official report.</x:v>
      </x:c>
      <x:c r="G15" s="264" t="str">
        <x:v>High</x:v>
      </x:c>
      <x:c r="H15" s="265" t="str">
        <x:v>Search visibility is an activity proxy, not monetization.</x:v>
      </x:c>
    </x:row>
    <x:row r="16">
      <x:c r="A16" s="263" t="str">
        <x:v>CL12</x:v>
      </x:c>
      <x:c r="B16" s="264" t="str">
        <x:v>Observed fact</x:v>
      </x:c>
      <x:c r="C16" s="264" t="str">
        <x:v>On Google Play, 83% of listed apps had fewer than three ratings as of July 14, 2026.</x:v>
      </x:c>
      <x:c r="D16" s="264" t="str">
        <x:v>83.0%</x:v>
      </x:c>
      <x:c r="E16" s="264" t="str">
        <x:v>S04</x:v>
      </x:c>
      <x:c r="F16" s="264" t="str">
        <x:v>AppBrain directory statistic.</x:v>
      </x:c>
      <x:c r="G16" s="264" t="str">
        <x:v>Medium</x:v>
      </x:c>
      <x:c r="H16" s="265" t="str">
        <x:v>Ratings are a noisy activity proxy and AppBrain is not Google.</x:v>
      </x:c>
    </x:row>
    <x:row r="17">
      <x:c r="A17" s="263" t="str">
        <x:v>CL13</x:v>
      </x:c>
      <x:c r="B17" s="264" t="str">
        <x:v>Interpretation</x:v>
      </x:c>
      <x:c r="C17" s="264" t="str">
        <x:v>The denominator changes the answer by more than an order of magnitude.</x:v>
      </x:c>
      <x:c r="D17" s="264" t="str">
        <x:v>App: 0.98% all listed vs. 10.23% serious; developer: 1.55% vs. 15.41%</x:v>
      </x:c>
      <x:c r="E17" s="264" t="str">
        <x:v>M01</x:v>
      </x:c>
      <x:c r="F17" s="264" t="str">
        <x:v>Compare denominator model rows.</x:v>
      </x:c>
      <x:c r="G17" s="264" t="str">
        <x:v>Medium</x:v>
      </x:c>
      <x:c r="H17" s="265" t="str">
        <x:v>The contrast is modeled; direction is robust, exact magnitude is not.</x:v>
      </x:c>
    </x:row>
    <x:row r="18">
      <x:c r="A18" s="263" t="str">
        <x:v>CL14</x:v>
      </x:c>
      <x:c r="B18" s="264" t="str">
        <x:v>Derived calculation</x:v>
      </x:c>
      <x:c r="C18" s="264" t="str">
        <x:v>$9.99/month requires about 101 active subscribers for $1,000 gross, 118 for $1,000 proceeds at a 15% fee, and 140 for $1,000 owner profit under a lean cost model.</x:v>
      </x:c>
      <x:c r="D18" s="264" t="str">
        <x:v>101; 118; 140</x:v>
      </x:c>
      <x:c r="E18" s="264" t="str">
        <x:v>M02; S11-S12</x:v>
      </x:c>
      <x:c r="F18" s="264" t="str">
        <x:v>Ceiling calculations in unit-economics table.</x:v>
      </x:c>
      <x:c r="G18" s="264" t="str">
        <x:v>High conditional on assumptions</x:v>
      </x:c>
      <x:c r="H18" s="265" t="str">
        <x:v>Ignores tax/refunds; profit model assumes $150 fixed and $0.25/subscriber variable cost.</x:v>
      </x:c>
    </x:row>
    <x:row r="19">
      <x:c r="A19" s="263" t="str">
        <x:v>CL15</x:v>
      </x:c>
      <x:c r="B19" s="264" t="str">
        <x:v>Derived calculation</x:v>
      </x:c>
      <x:c r="C19" s="264" t="str">
        <x:v>At RevenueCat’s overall D60 RPI of $0.34, a launch cohort needs about 2,941 installs to accumulate $1,000 by day 60.</x:v>
      </x:c>
      <x:c r="D19" s="264" t="str">
        <x:v>2,941 installs</x:v>
      </x:c>
      <x:c r="E19" s="264" t="str">
        <x:v>M02; S07</x:v>
      </x:c>
      <x:c r="F19" s="264" t="str">
        <x:v>CEILING(1000/0.34).</x:v>
      </x:c>
      <x:c r="G19" s="264" t="str">
        <x:v>High conditional on metric</x:v>
      </x:c>
      <x:c r="H19" s="265" t="str">
        <x:v>Cumulative cohort revenue, not monthly recurring revenue.</x:v>
      </x:c>
    </x:row>
    <x:row r="20">
      <x:c r="A20" s="263" t="str">
        <x:v>CL16</x:v>
      </x:c>
      <x:c r="B20" s="264" t="str">
        <x:v>Modeled estimate</x:v>
      </x:c>
      <x:c r="C20" s="264" t="str">
        <x:v>A base advertising app needs about 9,259 MAU for $1,000 monthly ad revenue.</x:v>
      </x:c>
      <x:c r="D20" s="264" t="str">
        <x:v>9,259 MAU</x:v>
      </x:c>
      <x:c r="E20" s="264" t="str">
        <x:v>M02</x:v>
      </x:c>
      <x:c r="F20" s="264" t="str">
        <x:v>1000/(12 sessions x 2 ads x 90% fill x $5 eCPM / 1000).</x:v>
      </x:c>
      <x:c r="G20" s="264" t="str">
        <x:v>Low-Medium</x:v>
      </x:c>
      <x:c r="H20" s="265" t="str">
        <x:v>All ad inputs are scenarios; actual eCPMs and engagement vary widely.</x:v>
      </x:c>
    </x:row>
    <x:row r="21">
      <x:c r="A21" s="263" t="str">
        <x:v>CL17</x:v>
      </x:c>
      <x:c r="B21" s="264" t="str">
        <x:v>Observed fact</x:v>
      </x:c>
      <x:c r="C21" s="264" t="str">
        <x:v>iOS monetizes subscription installs earlier than Google Play in the RevenueCat cohort.</x:v>
      </x:c>
      <x:c r="D21" s="264" t="str">
        <x:v>$0.42 vs. $0.16 D60 RPI; 2.6% vs. 0.9% D35 conversion</x:v>
      </x:c>
      <x:c r="E21" s="264" t="str">
        <x:v>S07</x:v>
      </x:c>
      <x:c r="F21" s="264" t="str">
        <x:v>Direct cohort statistics.</x:v>
      </x:c>
      <x:c r="G21" s="264" t="str">
        <x:v>High within cohort</x:v>
      </x:c>
      <x:c r="H21" s="265" t="str">
        <x:v>Long-run payer LTV narrows to $23.38 vs. $21.62.</x:v>
      </x:c>
    </x:row>
    <x:row r="22">
      <x:c r="A22" s="263" t="str">
        <x:v>CL18</x:v>
      </x:c>
      <x:c r="B22" s="264" t="str">
        <x:v>Interpretation</x:v>
      </x:c>
      <x:c r="C22" s="264" t="str">
        <x:v>Public case studies cannot estimate prevalence because they are selected on disclosure, verification, or saleability.</x:v>
      </x:c>
      <x:c r="D22" s="264" t="str">
        <x:v>N/A</x:v>
      </x:c>
      <x:c r="E22" s="264" t="str">
        <x:v>S16-S21</x:v>
      </x:c>
      <x:c r="F22" s="264" t="str">
        <x:v>Selection mechanism analysis.</x:v>
      </x:c>
      <x:c r="G22" s="264" t="str">
        <x:v>High</x:v>
      </x:c>
      <x:c r="H22" s="265" t="str">
        <x:v>Cases are retained for mechanisms and unit economics only.</x:v>
      </x:c>
    </x:row>
    <x:row r="23">
      <x:c r="A23" s="263" t="str">
        <x:v>CL19</x:v>
      </x:c>
      <x:c r="B23" s="264" t="str">
        <x:v>Observed case</x:v>
      </x:c>
      <x:c r="C23" s="264" t="str">
        <x:v>A 16-product disclosed portfolio generated $855 in the latest 30 days and $555 aggregate MRR, with multiple apps at zero.</x:v>
      </x:c>
      <x:c r="D23" s="264" t="str">
        <x:v>$855; $555</x:v>
      </x:c>
      <x:c r="E23" s="264" t="str">
        <x:v>S20</x:v>
      </x:c>
      <x:c r="F23" s="264" t="str">
        <x:v>Verified portfolio page.</x:v>
      </x:c>
      <x:c r="G23" s="264" t="str">
        <x:v>Medium-High for current listing</x:v>
      </x:c>
      <x:c r="H23" s="265" t="str">
        <x:v>Not representative; some products may not be mobile apps.</x:v>
      </x:c>
    </x:row>
    <x:row r="24">
      <x:c r="A24" s="266" t="str">
        <x:v>CL20</x:v>
      </x:c>
      <x:c r="B24" s="267" t="str">
        <x:v>Observed case</x:v>
      </x:c>
      <x:c r="C24" s="267" t="str">
        <x:v>GurjarApp reported 212k users but no current revenue and $100-$150 monthly costs.</x:v>
      </x:c>
      <x:c r="D24" s="267" t="str">
        <x:v>0 current revenue; 212k users</x:v>
      </x:c>
      <x:c r="E24" s="267" t="str">
        <x:v>S19</x:v>
      </x:c>
      <x:c r="F24" s="267" t="str">
        <x:v>Verified revenue listing plus founder statement.</x:v>
      </x:c>
      <x:c r="G24" s="267" t="str">
        <x:v>Medium</x:v>
      </x:c>
      <x:c r="H24" s="268" t="str">
        <x:v>User count and cost are founder-supplied; revenue account is linked.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38" hidden="0" customWidth="1"/>
    <x:col min="3" max="3" width="20" hidden="0" customWidth="1"/>
    <x:col min="4" max="4" width="23" hidden="0" customWidth="1"/>
    <x:col min="5" max="5" width="48" hidden="0" customWidth="1"/>
  </x:cols>
  <x:sheetData>
    <x:row r="1" ht="30" customHeight="1">
      <x:c r="A1" s="5" t="str">
        <x:v>Sensitivity Analysis</x:v>
      </x:c>
    </x:row>
    <x:row r="2" ht="28" customHeight="1">
      <x:c r="A2" s="12" t="str">
        <x:v>One-way changes to the serious-app and serious-developer $1,000-per-month estimates.</x:v>
      </x:c>
    </x:row>
    <x:row r="4">
      <x:c r="A4" s="28" t="str">
        <x:v>Sensitivity</x:v>
      </x:c>
      <x:c r="B4" s="28" t="str">
        <x:v>Case</x:v>
      </x:c>
      <x:c r="C4" s="28" t="str">
        <x:v>App probability</x:v>
      </x:c>
      <x:c r="D4" s="28" t="str">
        <x:v>Developer probability</x:v>
      </x:c>
      <x:c r="E4" s="28" t="str">
        <x:v>Interpretation</x:v>
      </x:c>
    </x:row>
    <x:row r="5">
      <x:c r="A5" s="106" t="str">
        <x:v>Full stochastic model</x:v>
      </x:c>
      <x:c r="B5" s="107" t="str">
        <x:v>All assumptions varied jointly</x:v>
      </x:c>
      <x:c r="C5" s="148" t="n">
        <x:v>0.10232853764617297</x:v>
      </x:c>
      <x:c r="D5" s="148" t="n">
        <x:v>0.15408261737906556</x:v>
      </x:c>
      <x:c r="E5" s="108" t="str">
        <x:v>Central estimate</x:v>
      </x:c>
    </x:row>
    <x:row r="6">
      <x:c r="A6" s="109" t="str">
        <x:v>RevenueCat milestone rate</x:v>
      </x:c>
      <x:c r="B6" s="110" t="str">
        <x:v>13.0% ever-hit</x:v>
      </x:c>
      <x:c r="C6" s="149" t="n">
        <x:v>0.08287499999999999</x:v>
      </x:c>
      <x:c r="D6" s="149" t="n">
        <x:v>0.11786049335252191</x:v>
      </x:c>
      <x:c r="E6" s="111" t="str">
        <x:v>Lower anchor</x:v>
      </x:c>
    </x:row>
    <x:row r="7">
      <x:c r="A7" s="109" t="str">
        <x:v>RevenueCat milestone rate</x:v>
      </x:c>
      <x:c r="B7" s="110" t="str">
        <x:v>22.0% ever-hit</x:v>
      </x:c>
      <x:c r="C7" s="149" t="n">
        <x:v>0.14025</x:v>
      </x:c>
      <x:c r="D7" s="149" t="n">
        <x:v>0.19140033070996465</x:v>
      </x:c>
      <x:c r="E7" s="111" t="str">
        <x:v>Upper anchor</x:v>
      </x:c>
    </x:row>
    <x:row r="8">
      <x:c r="A8" s="109" t="str">
        <x:v>Current persistence after ever-hit</x:v>
      </x:c>
      <x:c r="B8" s="110" t="str">
        <x:v>35%</x:v>
      </x:c>
      <x:c r="C8" s="149" t="n">
        <x:v>0.05146749999999999</x:v>
      </x:c>
      <x:c r="D8" s="149" t="n">
        <x:v>0.07563784544325512</x:v>
      </x:c>
      <x:c r="E8" s="111" t="str">
        <x:v>Low persistence</x:v>
      </x:c>
    </x:row>
    <x:row r="9">
      <x:c r="A9" s="109" t="str">
        <x:v>Current persistence after ever-hit</x:v>
      </x:c>
      <x:c r="B9" s="110" t="str">
        <x:v>95%</x:v>
      </x:c>
      <x:c r="C9" s="149" t="n">
        <x:v>0.13969749999999997</x:v>
      </x:c>
      <x:c r="D9" s="149" t="n">
        <x:v>0.19071252440679157</x:v>
      </x:c>
      <x:c r="E9" s="111" t="str">
        <x:v>High persistence</x:v>
      </x:c>
    </x:row>
    <x:row r="10">
      <x:c r="A10" s="109" t="str">
        <x:v>Transfer from subscription cohort</x:v>
      </x:c>
      <x:c r="B10" s="110" t="str">
        <x:v>45%</x:v>
      </x:c>
      <x:c r="C10" s="149" t="n">
        <x:v>0.058387499999999995</x:v>
      </x:c>
      <x:c r="D10" s="149" t="n">
        <x:v>0.08506987527488598</x:v>
      </x:c>
      <x:c r="E10" s="111" t="str">
        <x:v>Large subscription-success penalty</x:v>
      </x:c>
    </x:row>
    <x:row r="11">
      <x:c r="A11" s="109" t="str">
        <x:v>Transfer from subscription cohort</x:v>
      </x:c>
      <x:c r="B11" s="110" t="str">
        <x:v>135%</x:v>
      </x:c>
      <x:c r="C11" s="149" t="n">
        <x:v>0.17516249999999997</x:v>
      </x:c>
      <x:c r="D11" s="149" t="n">
        <x:v>0.2341256311823805</x:v>
      </x:c>
      <x:c r="E11" s="111" t="str">
        <x:v>Non-subscription models perform better than anchor</x:v>
      </x:c>
    </x:row>
    <x:row r="12">
      <x:c r="A12" s="109" t="str">
        <x:v>Denominator</x:v>
      </x:c>
      <x:c r="B12" s="110" t="str">
        <x:v>All listed apps</x:v>
      </x:c>
      <x:c r="C12" s="149" t="n">
        <x:v>0.009800557054831217</x:v>
      </x:c>
      <x:c r="D12" s="149" t="n">
        <x:v>0.015483980892646526</x:v>
      </x:c>
      <x:c r="E12" s="111" t="str">
        <x:v>Broadest denominator</x:v>
      </x:c>
    </x:row>
    <x:row r="13">
      <x:c r="A13" s="112" t="str">
        <x:v>Denominator</x:v>
      </x:c>
      <x:c r="B13" s="113" t="str">
        <x:v>Maintained at least 12 months</x:v>
      </x:c>
      <x:c r="C13" s="150" t="n">
        <x:v>0.1225926538017223</x:v>
      </x:c>
      <x:c r="D13" s="150" t="n">
        <x:v>0.18205714683553487</x:v>
      </x:c>
      <x:c r="E13" s="114" t="str">
        <x:v>Narrow mature denominator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42" hidden="0" customWidth="1"/>
  </x:cols>
  <x:sheetData>
    <x:row r="1" ht="30" customHeight="1">
      <x:c r="A1" s="5" t="str">
        <x:v>Replacement-Income Sensitivity</x:v>
      </x:c>
    </x:row>
    <x:row r="2" ht="28" customHeight="1">
      <x:c r="A2" s="12" t="str">
        <x:v>Share of serious commercial attempts producing owner profit before personal tax at three monthly thresholds.</x:v>
      </x:c>
    </x:row>
    <x:row r="4">
      <x:c r="A4" s="28" t="str">
        <x:v>Monthly owner profit</x:v>
      </x:c>
      <x:c r="B4" s="28" t="str">
        <x:v>Unit</x:v>
      </x:c>
      <x:c r="C4" s="28" t="str">
        <x:v>Lower</x:v>
      </x:c>
      <x:c r="D4" s="28" t="str">
        <x:v>Central</x:v>
      </x:c>
      <x:c r="E4" s="28" t="str">
        <x:v>Upper</x:v>
      </x:c>
      <x:c r="F4" s="28" t="str">
        <x:v>Status</x:v>
      </x:c>
    </x:row>
    <x:row r="5">
      <x:c r="A5" s="320" t="n">
        <x:v>3000</x:v>
      </x:c>
      <x:c r="B5" s="222" t="str">
        <x:v>App</x:v>
      </x:c>
      <x:c r="C5" s="148" t="n">
        <x:v>0.02</x:v>
      </x:c>
      <x:c r="D5" s="148" t="n">
        <x:v>0.044000000000000004</x:v>
      </x:c>
      <x:c r="E5" s="148" t="n">
        <x:v>0.075</x:v>
      </x:c>
      <x:c r="F5" s="108" t="str">
        <x:v>Modeled sensitivity</x:v>
      </x:c>
    </x:row>
    <x:row r="6">
      <x:c r="A6" s="321" t="n">
        <x:v>3000</x:v>
      </x:c>
      <x:c r="B6" s="223" t="str">
        <x:v>Developer</x:v>
      </x:c>
      <x:c r="C6" s="149" t="n">
        <x:v>0.032</x:v>
      </x:c>
      <x:c r="D6" s="149" t="n">
        <x:v>0.068</x:v>
      </x:c>
      <x:c r="E6" s="149" t="n">
        <x:v>0.115</x:v>
      </x:c>
      <x:c r="F6" s="111" t="str">
        <x:v>Modeled sensitivity</x:v>
      </x:c>
    </x:row>
    <x:row r="7">
      <x:c r="A7" s="321" t="n">
        <x:v>5000</x:v>
      </x:c>
      <x:c r="B7" s="223" t="str">
        <x:v>App</x:v>
      </x:c>
      <x:c r="C7" s="149" t="n">
        <x:v>0.0127</x:v>
      </x:c>
      <x:c r="D7" s="149" t="n">
        <x:v>0.0298</x:v>
      </x:c>
      <x:c r="E7" s="149" t="n">
        <x:v>0.053200000000000004</x:v>
      </x:c>
      <x:c r="F7" s="111" t="str">
        <x:v>Primary replacement-income definition</x:v>
      </x:c>
    </x:row>
    <x:row r="8">
      <x:c r="A8" s="321" t="n">
        <x:v>5000</x:v>
      </x:c>
      <x:c r="B8" s="223" t="str">
        <x:v>Developer</x:v>
      </x:c>
      <x:c r="C8" s="149" t="n">
        <x:v>0.0217</x:v>
      </x:c>
      <x:c r="D8" s="149" t="n">
        <x:v>0.0467</x:v>
      </x:c>
      <x:c r="E8" s="149" t="n">
        <x:v>0.0817</x:v>
      </x:c>
      <x:c r="F8" s="111" t="str">
        <x:v>Primary replacement-income definition</x:v>
      </x:c>
    </x:row>
    <x:row r="9">
      <x:c r="A9" s="321" t="n">
        <x:v>8333</x:v>
      </x:c>
      <x:c r="B9" s="223" t="str">
        <x:v>App</x:v>
      </x:c>
      <x:c r="C9" s="149" t="n">
        <x:v>0.008</x:v>
      </x:c>
      <x:c r="D9" s="149" t="n">
        <x:v>0.019</x:v>
      </x:c>
      <x:c r="E9" s="149" t="n">
        <x:v>0.035</x:v>
      </x:c>
      <x:c r="F9" s="111" t="str">
        <x:v>Modeled sensitivity</x:v>
      </x:c>
    </x:row>
    <x:row r="10">
      <x:c r="A10" s="322" t="n">
        <x:v>8333</x:v>
      </x:c>
      <x:c r="B10" s="240" t="str">
        <x:v>Developer</x:v>
      </x:c>
      <x:c r="C10" s="150" t="n">
        <x:v>0.013999999999999999</x:v>
      </x:c>
      <x:c r="D10" s="150" t="n">
        <x:v>0.031</x:v>
      </x:c>
      <x:c r="E10" s="150" t="n">
        <x:v>0.055</x:v>
      </x:c>
      <x:c r="F10" s="114" t="str">
        <x:v>Modeled sensitivity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3" hidden="0" customWidth="1"/>
    <x:col min="3" max="3" width="72" hidden="0" customWidth="1"/>
    <x:col min="4" max="4" width="96" hidden="0" customWidth="1"/>
    <x:col min="5" max="5" width="82" hidden="0" customWidth="1"/>
  </x:cols>
  <x:sheetData>
    <x:row r="1" ht="30" customHeight="1">
      <x:c r="A1" s="5" t="str">
        <x:v>Model Assumptions</x:v>
      </x:c>
    </x:row>
    <x:row r="2" ht="28" customHeight="1">
      <x:c r="A2" s="12" t="str">
        <x:v>Equations, input distributions, and reasons for M01-M06.</x:v>
      </x:c>
    </x:row>
    <x:row r="4">
      <x:c r="A4" s="28" t="str">
        <x:v>model_id</x:v>
      </x:c>
      <x:c r="B4" s="28" t="str">
        <x:v>component</x:v>
      </x:c>
      <x:c r="C4" s="28" t="str">
        <x:v>formula</x:v>
      </x:c>
      <x:c r="D4" s="28" t="str">
        <x:v>inputs</x:v>
      </x:c>
      <x:c r="E4" s="28" t="str">
        <x:v>reason</x:v>
      </x:c>
    </x:row>
    <x:row r="5">
      <x:c r="A5" s="106" t="str">
        <x:v>M01</x:v>
      </x:c>
      <x:c r="B5" s="107" t="str">
        <x:v>Serious-app current probability</x:v>
      </x:c>
      <x:c r="C5" s="107" t="str">
        <x:v>p_serious = p_RC_ever_hit x k_current_given_hit x k_transfer_to_all_serious</x:v>
      </x:c>
      <x:c r="D5" s="107" t="str">
        <x:v>p_RC ~ triangular(0.13,0.173,0.22); persistence ~ triangular(0.35,0.75,0.95); transfer ~ triangular(0.45,0.85,1.35)</x:v>
      </x:c>
      <x:c r="E5" s="108" t="str">
        <x:v>RevenueCat selected cohort is the only large, direct milestone dataset; two separate discounts/adjustments bridge it to current, all-model indie apps.</x:v>
      </x:c>
    </x:row>
    <x:row r="6">
      <x:c r="A6" s="109" t="str">
        <x:v>M02</x:v>
      </x:c>
      <x:c r="B6" s="110" t="str">
        <x:v>Unit economics</x:v>
      </x:c>
      <x:c r="C6" s="110" t="str">
        <x:v>Required units = target / net contribution per unit</x:v>
      </x:c>
      <x:c r="D6" s="110" t="str">
        <x:v>Common 15% fee, plus scenario-specific fixed and variable costs</x:v>
      </x:c>
      <x:c r="E6" s="111" t="str">
        <x:v>Arithmetic model; outputs are conditional, not prevalence estimates.</x:v>
      </x:c>
    </x:row>
    <x:row r="7">
      <x:c r="A7" s="109" t="str">
        <x:v>M03</x:v>
      </x:c>
      <x:c r="B7" s="110" t="str">
        <x:v>Denominator mixture</x:v>
      </x:c>
      <x:c r="C7" s="110" t="str">
        <x:v>p_D = sum_j w_Dj p_j</x:v>
      </x:c>
      <x:c r="D7" s="110" t="str">
        <x:v>Latent states: inactive, active-light, active monetized-light, serious, mature; weights drawn from Dirichlet distributions</x:v>
      </x:c>
      <x:c r="E7" s="111" t="str">
        <x:v>Encodes uncertainty around how much of each store denominator is economically meaningful.</x:v>
      </x:c>
    </x:row>
    <x:row r="8">
      <x:c r="A8" s="109" t="str">
        <x:v>M04</x:v>
      </x:c>
      <x:c r="B8" s="110" t="str">
        <x:v>Developer portfolio uplift</x:v>
      </x:c>
      <x:c r="C8" s="110" t="str">
        <x:v>p_dev = p_app + d x (sum_n w_n[1-(1-p_app)^n] - p_app) + portfolio_sum_bonus</x:v>
      </x:c>
      <x:c r="D8" s="110" t="str">
        <x:v>App-count weights: 58% one, 22% two, 10% three, 5% four, 3% five, 2% eight; diversification d ~ triangular(0.40,0.65,0.95)</x:v>
      </x:c>
      <x:c r="E8" s="111" t="str">
        <x:v>Allows multiple owned apps while dampening independence because app outcomes share developer skill, audience, and category exposure.</x:v>
      </x:c>
    </x:row>
    <x:row r="9">
      <x:c r="A9" s="109" t="str">
        <x:v>M05</x:v>
      </x:c>
      <x:c r="B9" s="110" t="str">
        <x:v>Sustained revenue</x:v>
      </x:c>
      <x:c r="C9" s="110" t="str">
        <x:v>p_sustained = p_current x persistence factor</x:v>
      </x:c>
      <x:c r="D9" s="110" t="str">
        <x:v>App factor triangular(0.50,0.75,0.90); developer factor triangular(0.60,0.80,0.95)</x:v>
      </x:c>
      <x:c r="E9" s="111" t="str">
        <x:v>No representative store-wide persistence panel exists; interval intentionally wide.</x:v>
      </x:c>
    </x:row>
    <x:row r="10">
      <x:c r="A10" s="112" t="str">
        <x:v>M06</x:v>
      </x:c>
      <x:c r="B10" s="113" t="str">
        <x:v>Uncertainty</x:v>
      </x:c>
      <x:c r="C10" s="113" t="str">
        <x:v>Reported intervals are plausible uncertainty intervals, not frequentist confidence intervals.</x:v>
      </x:c>
      <x:c r="D10" s="113" t="str">
        <x:v>500,000 Monte Carlo draws; seed 20260714</x:v>
      </x:c>
      <x:c r="E10" s="114" t="str">
        <x:v>Captures model/denominator uncertainty, not sampling error alone.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4" hidden="0" customWidth="1"/>
    <x:col min="3" max="3" width="34" hidden="0" customWidth="1"/>
    <x:col min="4" max="4" width="34" hidden="0" customWidth="1"/>
    <x:col min="5" max="5" width="64" hidden="0" customWidth="1"/>
  </x:cols>
  <x:sheetData>
    <x:row r="1" ht="30" customHeight="1">
      <x:c r="A1" s="5" t="str">
        <x:v>Claim Credibility Rubric</x:v>
      </x:c>
    </x:row>
    <x:row r="2" ht="28" customHeight="1">
      <x:c r="A2" s="12" t="str">
        <x:v>Score each app-revenue claim 0-2 across eight dimensions. A=14-16, B=10-13, C=6-9, D=0-5.</x:v>
      </x:c>
    </x:row>
    <x:row r="4">
      <x:c r="A4" s="28" t="str">
        <x:v>dimension</x:v>
      </x:c>
      <x:c r="B4" s="28" t="str">
        <x:v>score_0</x:v>
      </x:c>
      <x:c r="C4" s="28" t="str">
        <x:v>score_1</x:v>
      </x:c>
      <x:c r="D4" s="28" t="str">
        <x:v>score_2</x:v>
      </x:c>
      <x:c r="E4" s="28" t="str">
        <x:v>description</x:v>
      </x:c>
    </x:row>
    <x:row r="5">
      <x:c r="A5" s="106" t="str">
        <x:v>Identity and ownership</x:v>
      </x:c>
      <x:c r="B5" s="107" t="str">
        <x:v>Absent or contradictory</x:v>
      </x:c>
      <x:c r="C5" s="107" t="str">
        <x:v>Partial / indirect</x:v>
      </x:c>
      <x:c r="D5" s="107" t="str">
        <x:v>Explicit and verifiable</x:v>
      </x:c>
      <x:c r="E5" s="108" t="str">
        <x:v>Can the app and economic owner be identified?</x:v>
      </x:c>
    </x:row>
    <x:row r="6">
      <x:c r="A6" s="109" t="str">
        <x:v>Direct data connection</x:v>
      </x:c>
      <x:c r="B6" s="110" t="str">
        <x:v>Absent or contradictory</x:v>
      </x:c>
      <x:c r="C6" s="110" t="str">
        <x:v>Partial / indirect</x:v>
      </x:c>
      <x:c r="D6" s="110" t="str">
        <x:v>Explicit and verifiable</x:v>
      </x:c>
      <x:c r="E6" s="111" t="str">
        <x:v>Is revenue linked to a store/payment/subscription API?</x:v>
      </x:c>
    </x:row>
    <x:row r="7">
      <x:c r="A7" s="109" t="str">
        <x:v>Revenue basis</x:v>
      </x:c>
      <x:c r="B7" s="110" t="str">
        <x:v>Absent or contradictory</x:v>
      </x:c>
      <x:c r="C7" s="110" t="str">
        <x:v>Partial / indirect</x:v>
      </x:c>
      <x:c r="D7" s="110" t="str">
        <x:v>Explicit and verifiable</x:v>
      </x:c>
      <x:c r="E7" s="111" t="str">
        <x:v>Are gross revenue, proceeds, and profit distinguished?</x:v>
      </x:c>
    </x:row>
    <x:row r="8">
      <x:c r="A8" s="109" t="str">
        <x:v>Time period</x:v>
      </x:c>
      <x:c r="B8" s="110" t="str">
        <x:v>Absent or contradictory</x:v>
      </x:c>
      <x:c r="C8" s="110" t="str">
        <x:v>Partial / indirect</x:v>
      </x:c>
      <x:c r="D8" s="110" t="str">
        <x:v>Explicit and verifiable</x:v>
      </x:c>
      <x:c r="E8" s="111" t="str">
        <x:v>Is the measurement window explicit?</x:v>
      </x:c>
    </x:row>
    <x:row r="9">
      <x:c r="A9" s="109" t="str">
        <x:v>Continuity</x:v>
      </x:c>
      <x:c r="B9" s="110" t="str">
        <x:v>Absent or contradictory</x:v>
      </x:c>
      <x:c r="C9" s="110" t="str">
        <x:v>Partial / indirect</x:v>
      </x:c>
      <x:c r="D9" s="110" t="str">
        <x:v>Explicit and verifiable</x:v>
      </x:c>
      <x:c r="E9" s="111" t="str">
        <x:v>Is multi-month persistence shown?</x:v>
      </x:c>
    </x:row>
    <x:row r="10">
      <x:c r="A10" s="109" t="str">
        <x:v>Costs</x:v>
      </x:c>
      <x:c r="B10" s="110" t="str">
        <x:v>Absent or contradictory</x:v>
      </x:c>
      <x:c r="C10" s="110" t="str">
        <x:v>Partial / indirect</x:v>
      </x:c>
      <x:c r="D10" s="110" t="str">
        <x:v>Explicit and verifiable</x:v>
      </x:c>
      <x:c r="E10" s="111" t="str">
        <x:v>Are platform, operating, and acquisition costs disclosed?</x:v>
      </x:c>
    </x:row>
    <x:row r="11">
      <x:c r="A11" s="109" t="str">
        <x:v>Population and denominator</x:v>
      </x:c>
      <x:c r="B11" s="110" t="str">
        <x:v>Absent or contradictory</x:v>
      </x:c>
      <x:c r="C11" s="110" t="str">
        <x:v>Partial / indirect</x:v>
      </x:c>
      <x:c r="D11" s="110" t="str">
        <x:v>Explicit and verifiable</x:v>
      </x:c>
      <x:c r="E11" s="111" t="str">
        <x:v>Is the sampled population and exclusion rule explicit?</x:v>
      </x:c>
    </x:row>
    <x:row r="12">
      <x:c r="A12" s="112" t="str">
        <x:v>Reproducibility</x:v>
      </x:c>
      <x:c r="B12" s="113" t="str">
        <x:v>Absent or contradictory</x:v>
      </x:c>
      <x:c r="C12" s="113" t="str">
        <x:v>Partial / indirect</x:v>
      </x:c>
      <x:c r="D12" s="113" t="str">
        <x:v>Explicit and verifiable</x:v>
      </x:c>
      <x:c r="E12" s="114" t="str">
        <x:v>Can the claim be archived or recalculated?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28" hidden="0" customWidth="1"/>
    <x:col min="4" max="4" width="21" hidden="0" customWidth="1"/>
    <x:col min="5" max="5" width="22" hidden="0" customWidth="1"/>
  </x:cols>
  <x:sheetData>
    <x:row r="1" ht="30" customHeight="1">
      <x:c r="A1" s="5" t="str">
        <x:v>Chart Data</x:v>
      </x:c>
    </x:row>
    <x:row r="2" ht="28" customHeight="1">
      <x:c r="A2" s="12" t="str">
        <x:v>Long-form data underlying the report figures.</x:v>
      </x:c>
    </x:row>
    <x:row r="4">
      <x:c r="A4" s="28" t="str">
        <x:v>chart</x:v>
      </x:c>
      <x:c r="B4" s="28" t="str">
        <x:v>series</x:v>
      </x:c>
      <x:c r="C4" s="28" t="str">
        <x:v>category</x:v>
      </x:c>
      <x:c r="D4" s="28" t="str">
        <x:v>lower</x:v>
      </x:c>
      <x:c r="E4" s="28" t="str">
        <x:v>central</x:v>
      </x:c>
      <x:c r="F4" s="28" t="str">
        <x:v>upper</x:v>
      </x:c>
    </x:row>
    <x:row r="5">
      <x:c r="A5" s="106" t="str">
        <x:v>Denominator ladder</x:v>
      </x:c>
      <x:c r="B5" s="107" t="str">
        <x:v>App</x:v>
      </x:c>
      <x:c r="C5" s="107" t="str">
        <x:v>A. All listed apps</x:v>
      </x:c>
      <x:c r="D5" s="107" t="str">
        <x:v>0.31055651747177354</x:v>
      </x:c>
      <x:c r="E5" s="107" t="str">
        <x:v>0.9800557054831217</x:v>
      </x:c>
      <x:c r="F5" s="108" t="str">
        <x:v>2.7438196087454645</x:v>
      </x:c>
    </x:row>
    <x:row r="6">
      <x:c r="A6" s="109" t="str">
        <x:v>Denominator ladder</x:v>
      </x:c>
      <x:c r="B6" s="110" t="str">
        <x:v>App</x:v>
      </x:c>
      <x:c r="C6" s="110" t="str">
        <x:v>B. Active apps</x:v>
      </x:c>
      <x:c r="D6" s="110" t="str">
        <x:v>1.6005538216736794</x:v>
      </x:c>
      <x:c r="E6" s="110" t="str">
        <x:v>3.2544896962596312</x:v>
      </x:c>
      <x:c r="F6" s="111" t="str">
        <x:v>5.982105582648006</x:v>
      </x:c>
    </x:row>
    <x:row r="7">
      <x:c r="A7" s="109" t="str">
        <x:v>Denominator ladder</x:v>
      </x:c>
      <x:c r="B7" s="110" t="str">
        <x:v>App</x:v>
      </x:c>
      <x:c r="C7" s="110" t="str">
        <x:v>C. Active monetized apps</x:v>
      </x:c>
      <x:c r="D7" s="110" t="str">
        <x:v>4.352664812026922</x:v>
      </x:c>
      <x:c r="E7" s="110" t="str">
        <x:v>7.680061725552447</x:v>
      </x:c>
      <x:c r="F7" s="111" t="str">
        <x:v>12.37757974169325</x:v>
      </x:c>
    </x:row>
    <x:row r="8">
      <x:c r="A8" s="109" t="str">
        <x:v>Denominator ladder</x:v>
      </x:c>
      <x:c r="B8" s="110" t="str">
        <x:v>App</x:v>
      </x:c>
      <x:c r="C8" s="110" t="str">
        <x:v>D. Independently owned active apps</x:v>
      </x:c>
      <x:c r="D8" s="110" t="str">
        <x:v>2.3966056903858997</x:v>
      </x:c>
      <x:c r="E8" s="110" t="str">
        <x:v>4.495170541416897</x:v>
      </x:c>
      <x:c r="F8" s="111" t="str">
        <x:v>7.880472448989749</x:v>
      </x:c>
    </x:row>
    <x:row r="9">
      <x:c r="A9" s="109" t="str">
        <x:v>Denominator ladder</x:v>
      </x:c>
      <x:c r="B9" s="110" t="str">
        <x:v>App</x:v>
      </x:c>
      <x:c r="C9" s="110" t="str">
        <x:v>E. Serious commercial attempts</x:v>
      </x:c>
      <x:c r="D9" s="110" t="str">
        <x:v>5.255374669490444</x:v>
      </x:c>
      <x:c r="E9" s="110" t="str">
        <x:v>10.232853764617298</x:v>
      </x:c>
      <x:c r="F9" s="111" t="str">
        <x:v>17.43522965752049</x:v>
      </x:c>
    </x:row>
    <x:row r="10">
      <x:c r="A10" s="109" t="str">
        <x:v>Denominator ladder</x:v>
      </x:c>
      <x:c r="B10" s="110" t="str">
        <x:v>App</x:v>
      </x:c>
      <x:c r="C10" s="110" t="str">
        <x:v>F. Maintained for at least 12 months</x:v>
      </x:c>
      <x:c r="D10" s="110" t="str">
        <x:v>6.205241707741573</x:v>
      </x:c>
      <x:c r="E10" s="110" t="str">
        <x:v>12.259265380172229</x:v>
      </x:c>
      <x:c r="F10" s="111" t="str">
        <x:v>21.399355336536523</x:v>
      </x:c>
    </x:row>
    <x:row r="11">
      <x:c r="A11" s="109" t="str">
        <x:v>Denominator ladder</x:v>
      </x:c>
      <x:c r="B11" s="110" t="str">
        <x:v>Developer</x:v>
      </x:c>
      <x:c r="C11" s="110" t="str">
        <x:v>A. All listed apps</x:v>
      </x:c>
      <x:c r="D11" s="110" t="str">
        <x:v>0.517505074569171</x:v>
      </x:c>
      <x:c r="E11" s="110" t="str">
        <x:v>1.5483980892646525</x:v>
      </x:c>
      <x:c r="F11" s="111" t="str">
        <x:v>4.244774566648625</x:v>
      </x:c>
    </x:row>
    <x:row r="12">
      <x:c r="A12" s="109" t="str">
        <x:v>Denominator ladder</x:v>
      </x:c>
      <x:c r="B12" s="110" t="str">
        <x:v>Developer</x:v>
      </x:c>
      <x:c r="C12" s="110" t="str">
        <x:v>B. Active apps</x:v>
      </x:c>
      <x:c r="D12" s="110" t="str">
        <x:v>2.5884410695639075</x:v>
      </x:c>
      <x:c r="E12" s="110" t="str">
        <x:v>5.092743632089356</x:v>
      </x:c>
      <x:c r="F12" s="111" t="str">
        <x:v>9.16109753807435</x:v>
      </x:c>
    </x:row>
    <x:row r="13">
      <x:c r="A13" s="109" t="str">
        <x:v>Denominator ladder</x:v>
      </x:c>
      <x:c r="B13" s="110" t="str">
        <x:v>Developer</x:v>
      </x:c>
      <x:c r="C13" s="110" t="str">
        <x:v>C. Active monetized apps</x:v>
      </x:c>
      <x:c r="D13" s="110" t="str">
        <x:v>6.834353398615692</x:v>
      </x:c>
      <x:c r="E13" s="110" t="str">
        <x:v>11.668873738021937</x:v>
      </x:c>
      <x:c r="F13" s="111" t="str">
        <x:v>18.25090782886103</x:v>
      </x:c>
    </x:row>
    <x:row r="14">
      <x:c r="A14" s="109" t="str">
        <x:v>Denominator ladder</x:v>
      </x:c>
      <x:c r="B14" s="110" t="str">
        <x:v>Developer</x:v>
      </x:c>
      <x:c r="C14" s="110" t="str">
        <x:v>D. Independently owned active apps</x:v>
      </x:c>
      <x:c r="D14" s="110" t="str">
        <x:v>3.8854916726234756</x:v>
      </x:c>
      <x:c r="E14" s="110" t="str">
        <x:v>7.038230780992999</x:v>
      </x:c>
      <x:c r="F14" s="111" t="str">
        <x:v>11.99510318183512</x:v>
      </x:c>
    </x:row>
    <x:row r="15">
      <x:c r="A15" s="109" t="str">
        <x:v>Denominator ladder</x:v>
      </x:c>
      <x:c r="B15" s="110" t="str">
        <x:v>Developer</x:v>
      </x:c>
      <x:c r="C15" s="110" t="str">
        <x:v>E. Serious commercial attempts</x:v>
      </x:c>
      <x:c r="D15" s="110" t="str">
        <x:v>8.360258897371144</x:v>
      </x:c>
      <x:c r="E15" s="110" t="str">
        <x:v>15.408261737906557</x:v>
      </x:c>
      <x:c r="F15" s="111" t="str">
        <x:v>25.019874900428572</x:v>
      </x:c>
    </x:row>
    <x:row r="16">
      <x:c r="A16" s="109" t="str">
        <x:v>Denominator ladder</x:v>
      </x:c>
      <x:c r="B16" s="110" t="str">
        <x:v>Developer</x:v>
      </x:c>
      <x:c r="C16" s="110" t="str">
        <x:v>F. Maintained for at least 12 months</x:v>
      </x:c>
      <x:c r="D16" s="110" t="str">
        <x:v>9.796952614982061</x:v>
      </x:c>
      <x:c r="E16" s="110" t="str">
        <x:v>18.205714683553488</x:v>
      </x:c>
      <x:c r="F16" s="111" t="str">
        <x:v>29.965280883215144</x:v>
      </x:c>
    </x:row>
    <x:row r="17">
      <x:c r="A17" s="109" t="str">
        <x:v>Threshold survival</x:v>
      </x:c>
      <x:c r="B17" s="110" t="str">
        <x:v>App</x:v>
      </x:c>
      <x:c r="C17" s="110" t="str">
        <x:v>Any revenue</x:v>
      </x:c>
      <x:c r="D17" s="110" t="str">
        <x:v>67.85</x:v>
      </x:c>
      <x:c r="E17" s="110" t="str">
        <x:v>77.72</x:v>
      </x:c>
      <x:c r="F17" s="111" t="str">
        <x:v>87.27000000000001</x:v>
      </x:c>
    </x:row>
    <x:row r="18">
      <x:c r="A18" s="109" t="str">
        <x:v>Threshold survival</x:v>
      </x:c>
      <x:c r="B18" s="110" t="str">
        <x:v>Developer</x:v>
      </x:c>
      <x:c r="C18" s="110" t="str">
        <x:v>Any revenue</x:v>
      </x:c>
      <x:c r="D18" s="110" t="str">
        <x:v>76.59</x:v>
      </x:c>
      <x:c r="E18" s="110" t="str">
        <x:v>85.88</x:v>
      </x:c>
      <x:c r="F18" s="111" t="str">
        <x:v>94.26</x:v>
      </x:c>
    </x:row>
    <x:row r="19">
      <x:c r="A19" s="109" t="str">
        <x:v>Threshold survival</x:v>
      </x:c>
      <x:c r="B19" s="110" t="str">
        <x:v>App</x:v>
      </x:c>
      <x:c r="C19" s="110" t="str">
        <x:v>$100/month</x:v>
      </x:c>
      <x:c r="D19" s="110" t="str">
        <x:v>35.23</x:v>
      </x:c>
      <x:c r="E19" s="110" t="str">
        <x:v>46.51</x:v>
      </x:c>
      <x:c r="F19" s="111" t="str">
        <x:v>58.53</x:v>
      </x:c>
    </x:row>
    <x:row r="20">
      <x:c r="A20" s="109" t="str">
        <x:v>Threshold survival</x:v>
      </x:c>
      <x:c r="B20" s="110" t="str">
        <x:v>Developer</x:v>
      </x:c>
      <x:c r="C20" s="110" t="str">
        <x:v>$100/month</x:v>
      </x:c>
      <x:c r="D20" s="110" t="str">
        <x:v>44.529999999999994</x:v>
      </x:c>
      <x:c r="E20" s="110" t="str">
        <x:v>56.79</x:v>
      </x:c>
      <x:c r="F20" s="111" t="str">
        <x:v>68.97999999999999</x:v>
      </x:c>
    </x:row>
    <x:row r="21">
      <x:c r="A21" s="109" t="str">
        <x:v>Threshold survival</x:v>
      </x:c>
      <x:c r="B21" s="110" t="str">
        <x:v>App</x:v>
      </x:c>
      <x:c r="C21" s="110" t="str">
        <x:v>$1,000/month</x:v>
      </x:c>
      <x:c r="D21" s="110" t="str">
        <x:v>5.255374669490444</x:v>
      </x:c>
      <x:c r="E21" s="110" t="str">
        <x:v>10.232853764617298</x:v>
      </x:c>
      <x:c r="F21" s="111" t="str">
        <x:v>17.43522965752049</x:v>
      </x:c>
    </x:row>
    <x:row r="22">
      <x:c r="A22" s="109" t="str">
        <x:v>Threshold survival</x:v>
      </x:c>
      <x:c r="B22" s="110" t="str">
        <x:v>Developer</x:v>
      </x:c>
      <x:c r="C22" s="110" t="str">
        <x:v>$1,000/month</x:v>
      </x:c>
      <x:c r="D22" s="110" t="str">
        <x:v>8.360258897371144</x:v>
      </x:c>
      <x:c r="E22" s="110" t="str">
        <x:v>15.408261737906557</x:v>
      </x:c>
      <x:c r="F22" s="111" t="str">
        <x:v>25.019874900428572</x:v>
      </x:c>
    </x:row>
    <x:row r="23">
      <x:c r="A23" s="109" t="str">
        <x:v>Threshold survival</x:v>
      </x:c>
      <x:c r="B23" s="110" t="str">
        <x:v>App</x:v>
      </x:c>
      <x:c r="C23" s="110" t="str">
        <x:v>$5,000/month</x:v>
      </x:c>
      <x:c r="D23" s="110" t="str">
        <x:v>2.33</x:v>
      </x:c>
      <x:c r="E23" s="110" t="str">
        <x:v>4.25</x:v>
      </x:c>
      <x:c r="F23" s="111" t="str">
        <x:v>6.77</x:v>
      </x:c>
    </x:row>
    <x:row r="24">
      <x:c r="A24" s="109" t="str">
        <x:v>Threshold survival</x:v>
      </x:c>
      <x:c r="B24" s="110" t="str">
        <x:v>Developer</x:v>
      </x:c>
      <x:c r="C24" s="110" t="str">
        <x:v>$5,000/month</x:v>
      </x:c>
      <x:c r="D24" s="110" t="str">
        <x:v>3.73</x:v>
      </x:c>
      <x:c r="E24" s="110" t="str">
        <x:v>6.529999999999999</x:v>
      </x:c>
      <x:c r="F24" s="111" t="str">
        <x:v>10.36</x:v>
      </x:c>
    </x:row>
    <x:row r="25">
      <x:c r="A25" s="109" t="str">
        <x:v>Threshold survival</x:v>
      </x:c>
      <x:c r="B25" s="110" t="str">
        <x:v>App</x:v>
      </x:c>
      <x:c r="C25" s="110" t="str">
        <x:v>$10,000/month</x:v>
      </x:c>
      <x:c r="D25" s="110" t="str">
        <x:v>1.5699999999999998</x:v>
      </x:c>
      <x:c r="E25" s="110" t="str">
        <x:v>2.92</x:v>
      </x:c>
      <x:c r="F25" s="111" t="str">
        <x:v>4.6899999999999995</x:v>
      </x:c>
    </x:row>
    <x:row r="26">
      <x:c r="A26" s="109" t="str">
        <x:v>Threshold survival</x:v>
      </x:c>
      <x:c r="B26" s="110" t="str">
        <x:v>Developer</x:v>
      </x:c>
      <x:c r="C26" s="110" t="str">
        <x:v>$10,000/month</x:v>
      </x:c>
      <x:c r="D26" s="110" t="str">
        <x:v>2.5</x:v>
      </x:c>
      <x:c r="E26" s="110" t="str">
        <x:v>4.49</x:v>
      </x:c>
      <x:c r="F26" s="111" t="str">
        <x:v>7.24</x:v>
      </x:c>
    </x:row>
    <x:row r="27">
      <x:c r="A27" s="109" t="str">
        <x:v>Threshold survival</x:v>
      </x:c>
      <x:c r="B27" s="110" t="str">
        <x:v>App</x:v>
      </x:c>
      <x:c r="C27" s="110" t="str">
        <x:v>$25,000/month</x:v>
      </x:c>
      <x:c r="D27" s="110" t="str">
        <x:v>0.5499999999999999</x:v>
      </x:c>
      <x:c r="E27" s="110" t="str">
        <x:v>1.1199999999999999</x:v>
      </x:c>
      <x:c r="F27" s="111" t="str">
        <x:v>1.96</x:v>
      </x:c>
    </x:row>
    <x:row r="28">
      <x:c r="A28" s="109" t="str">
        <x:v>Threshold survival</x:v>
      </x:c>
      <x:c r="B28" s="110" t="str">
        <x:v>Developer</x:v>
      </x:c>
      <x:c r="C28" s="110" t="str">
        <x:v>$25,000/month</x:v>
      </x:c>
      <x:c r="D28" s="110" t="str">
        <x:v>0.885</x:v>
      </x:c>
      <x:c r="E28" s="110" t="str">
        <x:v>1.728</x:v>
      </x:c>
      <x:c r="F28" s="111" t="str">
        <x:v>3.036</x:v>
      </x:c>
    </x:row>
    <x:row r="29">
      <x:c r="A29" s="109" t="str">
        <x:v>Threshold survival</x:v>
      </x:c>
      <x:c r="B29" s="110" t="str">
        <x:v>App</x:v>
      </x:c>
      <x:c r="C29" s="110" t="str">
        <x:v>$100,000/month</x:v>
      </x:c>
      <x:c r="D29" s="110" t="str">
        <x:v>0.07100000000000001</x:v>
      </x:c>
      <x:c r="E29" s="110" t="str">
        <x:v>0.242</x:v>
      </x:c>
      <x:c r="F29" s="111" t="str">
        <x:v>0.52</x:v>
      </x:c>
    </x:row>
    <x:row r="30">
      <x:c r="A30" s="109" t="str">
        <x:v>Threshold survival</x:v>
      </x:c>
      <x:c r="B30" s="110" t="str">
        <x:v>Developer</x:v>
      </x:c>
      <x:c r="C30" s="110" t="str">
        <x:v>$100,000/month</x:v>
      </x:c>
      <x:c r="D30" s="110" t="str">
        <x:v>0.11900000000000001</x:v>
      </x:c>
      <x:c r="E30" s="110" t="str">
        <x:v>0.368</x:v>
      </x:c>
      <x:c r="F30" s="111" t="str">
        <x:v>0.792</x:v>
      </x:c>
    </x:row>
    <x:row r="31">
      <x:c r="A31" s="109" t="str">
        <x:v>Threshold survival</x:v>
      </x:c>
      <x:c r="B31" s="110" t="str">
        <x:v>App</x:v>
      </x:c>
      <x:c r="C31" s="110" t="str">
        <x:v>Full-time replacement income</x:v>
      </x:c>
      <x:c r="D31" s="110" t="str">
        <x:v>1.27</x:v>
      </x:c>
      <x:c r="E31" s="110" t="str">
        <x:v>2.98</x:v>
      </x:c>
      <x:c r="F31" s="111" t="str">
        <x:v>5.319999999999999</x:v>
      </x:c>
    </x:row>
    <x:row r="32">
      <x:c r="A32" s="112" t="str">
        <x:v>Threshold survival</x:v>
      </x:c>
      <x:c r="B32" s="113" t="str">
        <x:v>Developer</x:v>
      </x:c>
      <x:c r="C32" s="113" t="str">
        <x:v>Full-time replacement income</x:v>
      </x:c>
      <x:c r="D32" s="113" t="str">
        <x:v>2.17</x:v>
      </x:c>
      <x:c r="E32" s="113" t="str">
        <x:v>4.67</x:v>
      </x:c>
      <x:c r="F32" s="114" t="str">
        <x:v>8.17</x:v>
      </x:c>
    </x:row>
  </x:sheetData>
  <x:mergeCells>
    <x:mergeCell ref="A1:F1"/>
    <x:mergeCell ref="A2:F2"/>
  </x:mergeCells>
  <x:pageMargins left="0.7" right="0.7" top="0.75" bottom="0.75" header="0.3" footer="0.3"/>
</x:worksheet>
</file>